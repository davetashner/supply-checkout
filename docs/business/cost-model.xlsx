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Fixed AWS" sheetId="3" state="visible" r:id="rId3"/>
    <sheet name="Per-seat margin" sheetId="4" state="visible" r:id="rId4"/>
    <sheet name="Break-even" sheetId="5" state="visible" r:id="rId5"/>
    <sheet name="24-month projection" sheetId="6" state="visible" r:id="rId6"/>
  </sheets>
  <definedNames>
    <definedName name="PricePerSeat">Assumptions!$B$6</definedName>
    <definedName name="StarterMinSeats">Assumptions!$B$7</definedName>
    <definedName name="PricingMode">Assumptions!$B$8</definedName>
    <definedName name="StripePct">Assumptions!$B$10</definedName>
    <definedName name="StripeFixed">Assumptions!$B$11</definedName>
    <definedName name="StripeBillingPct">Assumptions!$B$12</definedName>
    <definedName name="StripeTaxPct">Assumptions!$B$13</definedName>
    <definedName name="StripeTaxOn">Assumptions!$B$14</definedName>
    <definedName name="IntlCardShare">Assumptions!$B$15</definedName>
    <definedName name="StripeIntlPct">Assumptions!$B$16</definedName>
    <definedName name="ReceiptModel">Assumptions!$B$18</definedName>
    <definedName name="HaikuIn">Assumptions!$B$19</definedName>
    <definedName name="HaikuOut">Assumptions!$B$20</definedName>
    <definedName name="SonnetIn">Assumptions!$B$21</definedName>
    <definedName name="SonnetOut">Assumptions!$B$22</definedName>
    <definedName name="BedrockRegionalPremium">Assumptions!$B$23</definedName>
    <definedName name="SonnetTokenFactor">Assumptions!$B$24</definedName>
    <definedName name="ImageTokens">Assumptions!$B$25</definedName>
    <definedName name="PromptTokens">Assumptions!$B$26</definedName>
    <definedName name="OutputTokens">Assumptions!$B$27</definedName>
    <definedName name="ReceiptsPerSeat">Assumptions!$B$28</definedName>
    <definedName name="ReceiptCapPerTeam">Assumptions!$B$29</definedName>
    <definedName name="ApiRequestsPerSeat">Assumptions!$B$31</definedName>
    <definedName name="ApiGwPrice">Assumptions!$B$32</definedName>
    <definedName name="LambdaReqPrice">Assumptions!$B$33</definedName>
    <definedName name="LambdaGbSeconds">Assumptions!$B$34</definedName>
    <definedName name="LambdaGbSecPrice">Assumptions!$B$35</definedName>
    <definedName name="DdbWritesPerSeat">Assumptions!$B$36</definedName>
    <definedName name="DdbWritePrice">Assumptions!$B$37</definedName>
    <definedName name="DdbReadsPerSeat">Assumptions!$B$38</definedName>
    <definedName name="DdbReadPrice">Assumptions!$B$39</definedName>
    <definedName name="DdbGbPerSeat">Assumptions!$B$40</definedName>
    <definedName name="DdbStoragePrice">Assumptions!$B$41</definedName>
    <definedName name="RealtimeConnMinPerSeat">Assumptions!$B$42</definedName>
    <definedName name="AppSyncConnPrice">Assumptions!$B$43</definedName>
    <definedName name="RealtimeOpsPerSeat">Assumptions!$B$44</definedName>
    <definedName name="AppSyncOpPrice">Assumptions!$B$45</definedName>
    <definedName name="EmailsPerSeat">Assumptions!$B$46</definedName>
    <definedName name="SesPrice">Assumptions!$B$47</definedName>
    <definedName name="LogGbPerSeat">Assumptions!$B$48</definedName>
    <definedName name="LogIngestPrice">Assumptions!$B$49</definedName>
    <definedName name="CognitoFreeMau">Assumptions!$B$50</definedName>
    <definedName name="CognitoMauPrice">Assumptions!$B$51</definedName>
    <definedName name="AwsSafetyFactor">Assumptions!$B$52</definedName>
    <definedName name="R53ZonePrice">Assumptions!$B$54</definedName>
    <definedName name="R53HealthCheckHttps">Assumptions!$B$55</definedName>
    <definedName name="R53QueryPrice">Assumptions!$B$56</definedName>
    <definedName name="KmsKeyPrice">Assumptions!$B$57</definedName>
    <definedName name="SecretPrice">Assumptions!$B$58</definedName>
    <definedName name="CanaryRunPrice">Assumptions!$B$59</definedName>
    <definedName name="CanaryFreeRuns">Assumptions!$B$60</definedName>
    <definedName name="CoreCanaryRunsPerDay">Assumptions!$B$61</definedName>
    <definedName name="SignupCanaryRunsPerDay">Assumptions!$B$62</definedName>
    <definedName name="DaysPerMonth">Assumptions!$B$63</definedName>
    <definedName name="WafAclPrice">Assumptions!$B$64</definedName>
    <definedName name="WafRulePrice">Assumptions!$B$65</definedName>
    <definedName name="WafReqPrice">Assumptions!$B$66</definedName>
    <definedName name="AlarmPrice">Assumptions!$B$67</definedName>
    <definedName name="MetricPrice">Assumptions!$B$68</definedName>
    <definedName name="DashboardPrice">Assumptions!$B$69</definedName>
    <definedName name="Phase2Multiplier">Assumptions!$B$70</definedName>
    <definedName name="ToolingMonthly">Assumptions!$B$72</definedName>
    <definedName name="OverheadMonthly">Assumptions!$B$73</definedName>
    <definedName name="MobileAppsLive">Assumptions!$B$74</definedName>
    <definedName name="AppleDevAnnual">Assumptions!$B$75</definedName>
    <definedName name="GooglePlayOneTime">Assumptions!$B$76</definedName>
    <definedName name="AvgSeatsPerTeam">Assumptions!$B$78</definedName>
    <definedName name="HaikuPerReceipt">Assumptions!$B$81</definedName>
    <definedName name="SonnetPerReceipt">Assumptions!$B$82</definedName>
    <definedName name="CostPerReceipt">Assumptions!$B$83</definedName>
    <definedName name="StripeVarPct">Assumptions!$B$84</definedName>
    <definedName name="AwsPerSeat">Assumptions!$B$85</definedName>
    <definedName name="AppStoreMonthly">Assumptions!$B$86</definedName>
    <definedName name="FixedAwsProd">'Fixed AWS'!$F$21</definedName>
    <definedName name="FixedAwsStaging">'Fixed AWS'!$G$21</definedName>
    <definedName name="FixedAwsDev">'Fixed AWS'!$H$21</definedName>
    <definedName name="FixedAwsTotal">'Fixed AWS'!$F$23</definedName>
    <definedName name="RunningFixed">'Break-even'!$B$10</definedName>
    <definedName name="AllInFixed">'Break-even'!$B$12</definedName>
    <definedName name="BreakEvenSeatsRunning">'Break-even'!$B$22</definedName>
    <definedName name="BreakEvenSeatsAllIn">'Break-even'!$B$24</definedName>
    <definedName name="PilotMonths">'24-month projection'!$B$5</definedName>
    <definedName name="PilotTeams">'24-month projection'!$B$6</definedName>
    <definedName name="PilotConversion">'24-month projection'!$B$7</definedName>
    <definedName name="NewTeamsFirstMonth">'24-month projection'!$B$8</definedName>
    <definedName name="NewTeamGrowth">'24-month projection'!$B$9</definedName>
    <definedName name="MonthlyChurn">'24-month projection'!$B$10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$#,##0.00;($#,##0.00);&quot;-&quot;"/>
    <numFmt numFmtId="165" formatCode="#,##0;(#,##0);&quot;-&quot;"/>
    <numFmt numFmtId="166" formatCode="0.0%;(0.0%);&quot;-&quot;"/>
    <numFmt numFmtId="167" formatCode="$0.0000000000"/>
    <numFmt numFmtId="168" formatCode="0.000"/>
    <numFmt numFmtId="169" formatCode="$#,##0.0000;($#,##0.0000);&quot;-&quot;"/>
    <numFmt numFmtId="170" formatCode="0.0"/>
    <numFmt numFmtId="171" formatCode="#,##0.0;(#,##0.0);&quot;-&quot;"/>
    <numFmt numFmtId="172" formatCode="$#,##0;($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</font>
    <font>
      <name val="Arial"/>
      <i val="1"/>
      <color rgb="00555555"/>
    </font>
    <font>
      <name val="Arial"/>
      <b val="1"/>
      <color rgb="00FFFFFF"/>
    </font>
    <font>
      <name val="Arial"/>
      <color rgb="000000FF"/>
    </font>
    <font>
      <name val="Arial"/>
      <color rgb="000563C1"/>
      <u val="single"/>
    </font>
    <font>
      <name val="Arial"/>
      <color rgb="00008000"/>
    </font>
    <font>
      <name val="Arial"/>
      <b val="1"/>
      <color rgb="00C0000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top style="thin">
        <color rgb="00999999"/>
      </top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3" fillId="3" borderId="0" pivotButton="0" quotePrefix="0" xfId="0"/>
    <xf numFmtId="0" fontId="0" fillId="3" borderId="0" pivotButton="0" quotePrefix="0" xfId="0"/>
    <xf numFmtId="0" fontId="2" fillId="0" borderId="0" pivotButton="0" quotePrefix="0" xfId="0"/>
    <xf numFmtId="164" fontId="6" fillId="4" borderId="0" pivotButton="0" quotePrefix="0" xfId="0"/>
    <xf numFmtId="0" fontId="2" fillId="0" borderId="0" applyAlignment="1" pivotButton="0" quotePrefix="0" xfId="0">
      <alignment vertical="top" wrapText="1"/>
    </xf>
    <xf numFmtId="165" fontId="6" fillId="0" borderId="0" pivotButton="0" quotePrefix="0" xfId="0"/>
    <xf numFmtId="1" fontId="6" fillId="4" borderId="0" pivotButton="0" quotePrefix="0" xfId="0"/>
    <xf numFmtId="166" fontId="6" fillId="0" borderId="0" pivotButton="0" quotePrefix="0" xfId="0"/>
    <xf numFmtId="0" fontId="7" fillId="0" borderId="0" pivotButton="0" quotePrefix="0" xfId="0"/>
    <xf numFmtId="164" fontId="6" fillId="0" borderId="0" pivotButton="0" quotePrefix="0" xfId="0"/>
    <xf numFmtId="1" fontId="6" fillId="0" borderId="0" pivotButton="0" quotePrefix="0" xfId="0"/>
    <xf numFmtId="166" fontId="6" fillId="4" borderId="0" pivotButton="0" quotePrefix="0" xfId="0"/>
    <xf numFmtId="2" fontId="6" fillId="0" borderId="0" pivotButton="0" quotePrefix="0" xfId="0"/>
    <xf numFmtId="165" fontId="6" fillId="4" borderId="0" pivotButton="0" quotePrefix="0" xfId="0"/>
    <xf numFmtId="167" fontId="6" fillId="0" borderId="0" pivotButton="0" quotePrefix="0" xfId="0"/>
    <xf numFmtId="168" fontId="6" fillId="0" borderId="0" pivotButton="0" quotePrefix="0" xfId="0"/>
    <xf numFmtId="169" fontId="6" fillId="0" borderId="0" pivotButton="0" quotePrefix="0" xfId="0"/>
    <xf numFmtId="170" fontId="6" fillId="0" borderId="0" pivotButton="0" quotePrefix="0" xfId="0"/>
    <xf numFmtId="169" fontId="6" fillId="4" borderId="0" pivotButton="0" quotePrefix="0" xfId="0"/>
    <xf numFmtId="171" fontId="6" fillId="4" borderId="0" pivotButton="0" quotePrefix="0" xfId="0"/>
    <xf numFmtId="169" fontId="2" fillId="0" borderId="0" pivotButton="0" quotePrefix="0" xfId="0"/>
    <xf numFmtId="166" fontId="2" fillId="0" borderId="0" pivotButton="0" quotePrefix="0" xfId="0"/>
    <xf numFmtId="164" fontId="2" fillId="0" borderId="0" pivotButton="0" quotePrefix="0" xfId="0"/>
    <xf numFmtId="164" fontId="8" fillId="0" borderId="0" pivotButton="0" quotePrefix="0" xfId="0"/>
    <xf numFmtId="171" fontId="6" fillId="0" borderId="0" pivotButton="0" quotePrefix="0" xfId="0"/>
    <xf numFmtId="169" fontId="8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164" fontId="3" fillId="0" borderId="1" pivotButton="0" quotePrefix="0" xfId="0"/>
    <xf numFmtId="164" fontId="3" fillId="4" borderId="0" pivotButton="0" quotePrefix="0" xfId="0"/>
    <xf numFmtId="164" fontId="3" fillId="0" borderId="0" pivotButton="0" quotePrefix="0" xfId="0"/>
    <xf numFmtId="171" fontId="8" fillId="0" borderId="0" pivotButton="0" quotePrefix="0" xfId="0"/>
    <xf numFmtId="171" fontId="2" fillId="0" borderId="0" pivotButton="0" quotePrefix="0" xfId="0"/>
    <xf numFmtId="165" fontId="3" fillId="4" borderId="0" pivotButton="0" quotePrefix="0" xfId="0"/>
    <xf numFmtId="165" fontId="3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172" fontId="2" fillId="0" borderId="0" pivotButton="0" quotePrefix="0" xfId="0"/>
    <xf numFmtId="172" fontId="8" fillId="0" borderId="0" pivotButton="0" quotePrefix="0" xfId="0"/>
    <xf numFmtId="172" fontId="3" fillId="0" borderId="1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tripe.com/pricing" TargetMode="External" Id="rId1" /><Relationship Type="http://schemas.openxmlformats.org/officeDocument/2006/relationships/hyperlink" Target="https://stripe.com/pricing" TargetMode="External" Id="rId2" /><Relationship Type="http://schemas.openxmlformats.org/officeDocument/2006/relationships/hyperlink" Target="https://stripe.com/pricing" TargetMode="External" Id="rId3" /><Relationship Type="http://schemas.openxmlformats.org/officeDocument/2006/relationships/hyperlink" Target="https://stripe.com/pricing" TargetMode="External" Id="rId4" /><Relationship Type="http://schemas.openxmlformats.org/officeDocument/2006/relationships/hyperlink" Target="https://stripe.com/pricing" TargetMode="External" Id="rId5" /><Relationship Type="http://schemas.openxmlformats.org/officeDocument/2006/relationships/hyperlink" Target="https://stripe.com/pricing" TargetMode="External" Id="rId6" /><Relationship Type="http://schemas.openxmlformats.org/officeDocument/2006/relationships/hyperlink" Target="https://platform.claude.com/docs/en/about-claude/pricing" TargetMode="External" Id="rId7" /><Relationship Type="http://schemas.openxmlformats.org/officeDocument/2006/relationships/hyperlink" Target="https://platform.claude.com/docs/en/about-claude/pricing" TargetMode="External" Id="rId8" /><Relationship Type="http://schemas.openxmlformats.org/officeDocument/2006/relationships/hyperlink" Target="https://platform.claude.com/docs/en/about-claude/pricing" TargetMode="External" Id="rId9" /><Relationship Type="http://schemas.openxmlformats.org/officeDocument/2006/relationships/hyperlink" Target="https://platform.claude.com/docs/en/about-claude/pricing" TargetMode="External" Id="rId10" /><Relationship Type="http://schemas.openxmlformats.org/officeDocument/2006/relationships/hyperlink" Target="https://platform.claude.com/docs/en/about-claude/pricing" TargetMode="External" Id="rId11" /><Relationship Type="http://schemas.openxmlformats.org/officeDocument/2006/relationships/hyperlink" Target="https://platform.claude.com/docs/en/about-claude/pricing" TargetMode="External" Id="rId12" /><Relationship Type="http://schemas.openxmlformats.org/officeDocument/2006/relationships/hyperlink" Target="https://aws.amazon.com/api-gateway/pricing/" TargetMode="External" Id="rId13" /><Relationship Type="http://schemas.openxmlformats.org/officeDocument/2006/relationships/hyperlink" Target="https://aws.amazon.com/lambda/pricing/" TargetMode="External" Id="rId14" /><Relationship Type="http://schemas.openxmlformats.org/officeDocument/2006/relationships/hyperlink" Target="https://aws.amazon.com/lambda/pricing/" TargetMode="External" Id="rId15" /><Relationship Type="http://schemas.openxmlformats.org/officeDocument/2006/relationships/hyperlink" Target="https://aws.amazon.com/dynamodb/pricing/on-demand/" TargetMode="External" Id="rId16" /><Relationship Type="http://schemas.openxmlformats.org/officeDocument/2006/relationships/hyperlink" Target="https://aws.amazon.com/dynamodb/pricing/on-demand/" TargetMode="External" Id="rId17" /><Relationship Type="http://schemas.openxmlformats.org/officeDocument/2006/relationships/hyperlink" Target="https://aws.amazon.com/dynamodb/pricing/on-demand/" TargetMode="External" Id="rId18" /><Relationship Type="http://schemas.openxmlformats.org/officeDocument/2006/relationships/hyperlink" Target="https://aws.amazon.com/appsync/pricing/" TargetMode="External" Id="rId19" /><Relationship Type="http://schemas.openxmlformats.org/officeDocument/2006/relationships/hyperlink" Target="https://aws.amazon.com/appsync/pricing/" TargetMode="External" Id="rId20" /><Relationship Type="http://schemas.openxmlformats.org/officeDocument/2006/relationships/hyperlink" Target="https://aws.amazon.com/ses/pricing/" TargetMode="External" Id="rId21" /><Relationship Type="http://schemas.openxmlformats.org/officeDocument/2006/relationships/hyperlink" Target="https://aws.amazon.com/cloudwatch/pricing/" TargetMode="External" Id="rId22" /><Relationship Type="http://schemas.openxmlformats.org/officeDocument/2006/relationships/hyperlink" Target="https://aws.amazon.com/cognito/pricing/" TargetMode="External" Id="rId23" /><Relationship Type="http://schemas.openxmlformats.org/officeDocument/2006/relationships/hyperlink" Target="https://aws.amazon.com/cognito/pricing/" TargetMode="External" Id="rId24" /><Relationship Type="http://schemas.openxmlformats.org/officeDocument/2006/relationships/hyperlink" Target="https://aws.amazon.com/route53/pricing/" TargetMode="External" Id="rId25" /><Relationship Type="http://schemas.openxmlformats.org/officeDocument/2006/relationships/hyperlink" Target="https://aws.amazon.com/route53/pricing/" TargetMode="External" Id="rId26" /><Relationship Type="http://schemas.openxmlformats.org/officeDocument/2006/relationships/hyperlink" Target="https://aws.amazon.com/route53/pricing/" TargetMode="External" Id="rId27" /><Relationship Type="http://schemas.openxmlformats.org/officeDocument/2006/relationships/hyperlink" Target="https://aws.amazon.com/kms/pricing/" TargetMode="External" Id="rId28" /><Relationship Type="http://schemas.openxmlformats.org/officeDocument/2006/relationships/hyperlink" Target="https://aws.amazon.com/secrets-manager/pricing/" TargetMode="External" Id="rId29" /><Relationship Type="http://schemas.openxmlformats.org/officeDocument/2006/relationships/hyperlink" Target="https://aws.amazon.com/cloudwatch/pricing/" TargetMode="External" Id="rId30" /><Relationship Type="http://schemas.openxmlformats.org/officeDocument/2006/relationships/hyperlink" Target="https://aws.amazon.com/cloudwatch/pricing/" TargetMode="External" Id="rId31" /><Relationship Type="http://schemas.openxmlformats.org/officeDocument/2006/relationships/hyperlink" Target="https://aws.amazon.com/waf/pricing/" TargetMode="External" Id="rId32" /><Relationship Type="http://schemas.openxmlformats.org/officeDocument/2006/relationships/hyperlink" Target="https://aws.amazon.com/waf/pricing/" TargetMode="External" Id="rId33" /><Relationship Type="http://schemas.openxmlformats.org/officeDocument/2006/relationships/hyperlink" Target="https://aws.amazon.com/waf/pricing/" TargetMode="External" Id="rId34" /><Relationship Type="http://schemas.openxmlformats.org/officeDocument/2006/relationships/hyperlink" Target="https://aws.amazon.com/cloudwatch/pricing/" TargetMode="External" Id="rId35" /><Relationship Type="http://schemas.openxmlformats.org/officeDocument/2006/relationships/hyperlink" Target="https://aws.amazon.com/cloudwatch/pricing/" TargetMode="External" Id="rId36" /><Relationship Type="http://schemas.openxmlformats.org/officeDocument/2006/relationships/hyperlink" Target="https://aws.amazon.com/cloudwatch/pricing/" TargetMode="External" Id="rId37" /><Relationship Type="http://schemas.openxmlformats.org/officeDocument/2006/relationships/hyperlink" Target="https://developer.apple.com/programs/whats-included/" TargetMode="External" Id="rId38" /><Relationship Type="http://schemas.openxmlformats.org/officeDocument/2006/relationships/hyperlink" Target="https://support.google.com/googleplay/android-developer/answer/6112435" TargetMode="External" Id="rId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Supply Checkout cost model (DRAFT, pending the owner's review)</t>
        </is>
      </c>
    </row>
    <row r="2">
      <c r="A2" s="2" t="inlineStr"/>
    </row>
    <row r="3">
      <c r="A3" s="3" t="inlineStr">
        <is>
          <t>Vendor prices checked 2026-09-26 against the official pricing pages linked on the Assumptions sheet.</t>
        </is>
      </c>
    </row>
    <row r="4">
      <c r="A4" s="3" t="inlineStr">
        <is>
          <t>Every number is an estimate. Usage figures (receipts, requests, growth) are guesses until the pilot measures them.</t>
        </is>
      </c>
    </row>
    <row r="5">
      <c r="A5" s="2" t="inlineStr"/>
    </row>
    <row r="6">
      <c r="A6" s="4" t="inlineStr">
        <is>
          <t>How to use it</t>
        </is>
      </c>
    </row>
    <row r="7">
      <c r="A7" s="3" t="inlineStr">
        <is>
          <t>Change blue cells only. Blue = input. Black = formula. Green = link to another sheet. Yellow fill = key assumption or result.</t>
        </is>
      </c>
    </row>
    <row r="8">
      <c r="A8" s="3" t="inlineStr">
        <is>
          <t>Inputs are on the Assumptions sheet (and the per-environment quantities on Fixed AWS). Every input is a named cell, so formulas read like =PricePerSeat*StripePct.</t>
        </is>
      </c>
    </row>
    <row r="9">
      <c r="A9" s="3" t="inlineStr">
        <is>
          <t>The workbook recalculates when it is opened (Excel, Numbers, LibreOffice or Google Sheets).</t>
        </is>
      </c>
    </row>
    <row r="10">
      <c r="A10" s="2" t="inlineStr"/>
    </row>
    <row r="11">
      <c r="A11" s="4" t="inlineStr">
        <is>
          <t>Sheets</t>
        </is>
      </c>
    </row>
    <row r="12">
      <c r="A12" s="3" t="inlineStr">
        <is>
          <t>Assumptions: every input, its unit and its source link.</t>
        </is>
      </c>
    </row>
    <row r="13">
      <c r="A13" s="3" t="inlineStr">
        <is>
          <t>Fixed AWS: fixed monthly AWS cost per environment (prod, staging, dev) for the MVP in us-east-1 only (ADR 0010).</t>
        </is>
      </c>
    </row>
    <row r="14">
      <c r="A14" s="3" t="inlineStr">
        <is>
          <t>Per-seat margin: revenue, Stripe, Bedrock and AWS cost per team and per seat at 1, 3, 10 and 50 seats per team.</t>
        </is>
      </c>
    </row>
    <row r="15">
      <c r="A15" s="3" t="inlineStr">
        <is>
          <t>Break-even: fixed costs, contribution per paying seat, and the number of paying seats needed to break even.</t>
        </is>
      </c>
    </row>
    <row r="16">
      <c r="A16" s="3" t="inlineStr">
        <is>
          <t>24-month projection: month-by-month teams, seats, revenue, costs and profit. Growth inputs are ASSUMPTIONS, not forecasts.</t>
        </is>
      </c>
    </row>
    <row r="17">
      <c r="A17" s="2" t="inlineStr"/>
    </row>
    <row r="18">
      <c r="A18" s="4" t="inlineStr">
        <is>
          <t>Pricing</t>
        </is>
      </c>
    </row>
    <row r="19">
      <c r="A19" s="3" t="inlineStr">
        <is>
          <t>The price is $3 per user (seat) per month, billed through Stripe only (ADR 0013: no App Store or Google Play in-app purchase, so no store commission).</t>
        </is>
      </c>
    </row>
    <row r="20">
      <c r="A20" s="3" t="inlineStr">
        <is>
          <t>Stripe's $0.30 fixed fee is charged once per team per month, so it is spread over the team's seats.</t>
        </is>
      </c>
    </row>
    <row r="21">
      <c r="A21" s="3" t="inlineStr">
        <is>
          <t>Two pricing modes are modelled: 1 = straight $3 per seat; 2 = Starter minimum from ADR 0009 ($9 a month covers the first 3 seats).</t>
        </is>
      </c>
    </row>
    <row r="22">
      <c r="A22" s="3" t="inlineStr">
        <is>
          <t>Not included: the owner's time, income tax, refunds and chargebacks, annual-plan discounts, and sales tax collected for states (pass-through).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6" customWidth="1" min="3" max="3"/>
    <col width="70" customWidth="1" min="4" max="4"/>
    <col width="60" customWidth="1" min="5" max="5"/>
  </cols>
  <sheetData>
    <row r="1">
      <c r="A1" s="5" t="inlineStr">
        <is>
          <t>Assumptions (inputs)</t>
        </is>
      </c>
    </row>
    <row r="2">
      <c r="A2" s="6" t="inlineStr">
        <is>
          <t>Blue cells are inputs. Prices checked 2026-09-26. 'Estimate' or 'guess' means no vendor price applies; replace with measured values after the pilot.</t>
        </is>
      </c>
    </row>
    <row r="4">
      <c r="A4" s="7" t="inlineStr">
        <is>
          <t>Input</t>
        </is>
      </c>
      <c r="B4" s="7" t="inlineStr">
        <is>
          <t>Value</t>
        </is>
      </c>
      <c r="C4" s="7" t="inlineStr">
        <is>
          <t>Unit</t>
        </is>
      </c>
      <c r="D4" s="7" t="inlineStr">
        <is>
          <t>Source / notes</t>
        </is>
      </c>
      <c r="E4" s="7" t="inlineStr">
        <is>
          <t>Source link</t>
        </is>
      </c>
    </row>
    <row r="5">
      <c r="A5" s="8" t="inlineStr">
        <is>
          <t>Pricing</t>
        </is>
      </c>
      <c r="B5" s="9" t="n"/>
      <c r="C5" s="9" t="n"/>
      <c r="D5" s="9" t="n"/>
      <c r="E5" s="9" t="n"/>
    </row>
    <row r="6">
      <c r="A6" s="10" t="inlineStr">
        <is>
          <t>PricePerSeat</t>
        </is>
      </c>
      <c r="B6" s="11" t="n">
        <v>3</v>
      </c>
      <c r="C6" s="10" t="inlineStr">
        <is>
          <t>$/seat/month</t>
        </is>
      </c>
      <c r="D6" s="12" t="inlineStr">
        <is>
          <t>Headline price. Bead supply-checkout-akz sets final tiers.</t>
        </is>
      </c>
    </row>
    <row r="7">
      <c r="A7" s="10" t="inlineStr">
        <is>
          <t>StarterMinSeats</t>
        </is>
      </c>
      <c r="B7" s="13" t="n">
        <v>3</v>
      </c>
      <c r="C7" s="10" t="inlineStr">
        <is>
          <t>seats</t>
        </is>
      </c>
      <c r="D7" s="12" t="inlineStr">
        <is>
          <t>Pricing mode 2 only: Starter plan bills at least this many seats ($9 minimum), ADR 0009.</t>
        </is>
      </c>
    </row>
    <row r="8">
      <c r="A8" s="10" t="inlineStr">
        <is>
          <t>PricingMode</t>
        </is>
      </c>
      <c r="B8" s="14" t="n">
        <v>1</v>
      </c>
      <c r="C8" s="10" t="inlineStr">
        <is>
          <t>1 or 2</t>
        </is>
      </c>
      <c r="D8" s="12" t="inlineStr">
        <is>
          <t>Used by Break-even and the projection. 1 = straight $3/seat. 2 = Starter minimum.</t>
        </is>
      </c>
    </row>
    <row r="9">
      <c r="A9" s="8" t="inlineStr">
        <is>
          <t>Stripe (web billing only, ADR 0013)</t>
        </is>
      </c>
      <c r="B9" s="9" t="n"/>
      <c r="C9" s="9" t="n"/>
      <c r="D9" s="9" t="n"/>
      <c r="E9" s="9" t="n"/>
    </row>
    <row r="10">
      <c r="A10" s="10" t="inlineStr">
        <is>
          <t>StripePct</t>
        </is>
      </c>
      <c r="B10" s="15" t="n">
        <v>0.029</v>
      </c>
      <c r="C10" s="10" t="inlineStr">
        <is>
          <t>% of charge</t>
        </is>
      </c>
      <c r="D10" s="12" t="inlineStr">
        <is>
          <t>Domestic card: 2.9% + 30c per successful charge. Unchanged from the draft.</t>
        </is>
      </c>
      <c r="E10" s="16" t="inlineStr">
        <is>
          <t>https://stripe.com/pricing</t>
        </is>
      </c>
    </row>
    <row r="11">
      <c r="A11" s="10" t="inlineStr">
        <is>
          <t>StripeFixed</t>
        </is>
      </c>
      <c r="B11" s="17" t="n">
        <v>0.3</v>
      </c>
      <c r="C11" s="10" t="inlineStr">
        <is>
          <t>$/charge</t>
        </is>
      </c>
      <c r="D11" s="12" t="inlineStr">
        <is>
          <t>Charged once per team per month (one invoice per team).</t>
        </is>
      </c>
      <c r="E11" s="16" t="inlineStr">
        <is>
          <t>https://stripe.com/pricing</t>
        </is>
      </c>
    </row>
    <row r="12">
      <c r="A12" s="10" t="inlineStr">
        <is>
          <t>StripeBillingPct</t>
        </is>
      </c>
      <c r="B12" s="15" t="n">
        <v>0.007</v>
      </c>
      <c r="C12" s="10" t="inlineStr">
        <is>
          <t>% of billed</t>
        </is>
      </c>
      <c r="D12" s="12" t="inlineStr">
        <is>
          <t>Stripe Billing pay-as-you-go: 0.7% of billing volume. Unchanged.</t>
        </is>
      </c>
      <c r="E12" s="16" t="inlineStr">
        <is>
          <t>https://stripe.com/pricing</t>
        </is>
      </c>
    </row>
    <row r="13">
      <c r="A13" s="10" t="inlineStr">
        <is>
          <t>StripeTaxPct</t>
        </is>
      </c>
      <c r="B13" s="15" t="n">
        <v>0.005</v>
      </c>
      <c r="C13" s="10" t="inlineStr">
        <is>
          <t>% of charge</t>
        </is>
      </c>
      <c r="D13" s="12" t="inlineStr">
        <is>
          <t>Stripe Tax (no-code): 0.5% per transaction. Unchanged.</t>
        </is>
      </c>
      <c r="E13" s="16" t="inlineStr">
        <is>
          <t>https://stripe.com/pricing</t>
        </is>
      </c>
    </row>
    <row r="14">
      <c r="A14" s="10" t="inlineStr">
        <is>
          <t>StripeTaxOn</t>
        </is>
      </c>
      <c r="B14" s="18" t="n">
        <v>0</v>
      </c>
      <c r="C14" s="10" t="inlineStr">
        <is>
          <t>0 = off, 1 = on</t>
        </is>
      </c>
      <c r="D14" s="12" t="inlineStr">
        <is>
          <t>Off until the business registers to collect sales tax (ADR 0009).</t>
        </is>
      </c>
    </row>
    <row r="15">
      <c r="A15" s="10" t="inlineStr">
        <is>
          <t>IntlCardShare</t>
        </is>
      </c>
      <c r="B15" s="15" t="n">
        <v>0</v>
      </c>
      <c r="C15" s="10" t="inlineStr">
        <is>
          <t>% of revenue</t>
        </is>
      </c>
      <c r="D15" s="12" t="inlineStr">
        <is>
          <t>Share of revenue on non-US cards (+1.5%). US-first launch, so 0.</t>
        </is>
      </c>
      <c r="E15" s="16" t="inlineStr">
        <is>
          <t>https://stripe.com/pricing</t>
        </is>
      </c>
    </row>
    <row r="16">
      <c r="A16" s="10" t="inlineStr">
        <is>
          <t>StripeIntlPct</t>
        </is>
      </c>
      <c r="B16" s="15" t="n">
        <v>0.015</v>
      </c>
      <c r="C16" s="10" t="inlineStr">
        <is>
          <t>% of charge</t>
        </is>
      </c>
      <c r="D16" s="12" t="inlineStr">
        <is>
          <t>Extra fee on international cards.</t>
        </is>
      </c>
      <c r="E16" s="16" t="inlineStr">
        <is>
          <t>https://stripe.com/pricing</t>
        </is>
      </c>
    </row>
    <row r="17">
      <c r="A17" s="8" t="inlineStr">
        <is>
          <t>Receipt reading on Bedrock (ADR 0008)</t>
        </is>
      </c>
      <c r="B17" s="9" t="n"/>
      <c r="C17" s="9" t="n"/>
      <c r="D17" s="9" t="n"/>
      <c r="E17" s="9" t="n"/>
    </row>
    <row r="18">
      <c r="A18" s="10" t="inlineStr">
        <is>
          <t>ReceiptModel</t>
        </is>
      </c>
      <c r="B18" s="14" t="n">
        <v>1</v>
      </c>
      <c r="C18" s="10" t="inlineStr">
        <is>
          <t>1 or 2</t>
        </is>
      </c>
      <c r="D18" s="12" t="inlineStr">
        <is>
          <t>1 = Claude Haiku 4.5 (the starting model). 2 = Claude Sonnet 5 (eval comparison, worst case).</t>
        </is>
      </c>
    </row>
    <row r="19">
      <c r="A19" s="10" t="inlineStr">
        <is>
          <t>HaikuIn</t>
        </is>
      </c>
      <c r="B19" s="17" t="n">
        <v>1</v>
      </c>
      <c r="C19" s="10" t="inlineStr">
        <is>
          <t>$/M tokens</t>
        </is>
      </c>
      <c r="D19" s="12" t="inlineStr">
        <is>
          <t>Claude Haiku 4.5 input, list price. Bedrock global endpoint matches the Claude API price.</t>
        </is>
      </c>
      <c r="E19" s="16" t="inlineStr">
        <is>
          <t>https://platform.claude.com/docs/en/about-claude/pricing</t>
        </is>
      </c>
    </row>
    <row r="20">
      <c r="A20" s="10" t="inlineStr">
        <is>
          <t>HaikuOut</t>
        </is>
      </c>
      <c r="B20" s="17" t="n">
        <v>5</v>
      </c>
      <c r="C20" s="10" t="inlineStr">
        <is>
          <t>$/M tokens</t>
        </is>
      </c>
      <c r="D20" s="12" t="inlineStr">
        <is>
          <t>Claude Haiku 4.5 output.</t>
        </is>
      </c>
      <c r="E20" s="16" t="inlineStr">
        <is>
          <t>https://platform.claude.com/docs/en/about-claude/pricing</t>
        </is>
      </c>
    </row>
    <row r="21">
      <c r="A21" s="10" t="inlineStr">
        <is>
          <t>SonnetIn</t>
        </is>
      </c>
      <c r="B21" s="17" t="n">
        <v>2</v>
      </c>
      <c r="C21" s="10" t="inlineStr">
        <is>
          <t>$/M tokens</t>
        </is>
      </c>
      <c r="D21" s="12" t="inlineStr">
        <is>
          <t>Claude Sonnet 5 input. The $2/$10 launch price is now standard; the planned rise to $3/$15 was cancelled.</t>
        </is>
      </c>
      <c r="E21" s="16" t="inlineStr">
        <is>
          <t>https://platform.claude.com/docs/en/about-claude/pricing</t>
        </is>
      </c>
    </row>
    <row r="22">
      <c r="A22" s="10" t="inlineStr">
        <is>
          <t>SonnetOut</t>
        </is>
      </c>
      <c r="B22" s="17" t="n">
        <v>10</v>
      </c>
      <c r="C22" s="10" t="inlineStr">
        <is>
          <t>$/M tokens</t>
        </is>
      </c>
      <c r="D22" s="12" t="inlineStr">
        <is>
          <t>Claude Sonnet 5 output.</t>
        </is>
      </c>
      <c r="E22" s="16" t="inlineStr">
        <is>
          <t>https://platform.claude.com/docs/en/about-claude/pricing</t>
        </is>
      </c>
    </row>
    <row r="23">
      <c r="A23" s="10" t="inlineStr">
        <is>
          <t>BedrockRegionalPremium</t>
        </is>
      </c>
      <c r="B23" s="19" t="n">
        <v>0.1</v>
      </c>
      <c r="C23" s="10" t="inlineStr">
        <is>
          <t>% uplift</t>
        </is>
      </c>
      <c r="D23" s="12" t="inlineStr">
        <is>
          <t>NEW since the draft: Bedrock regional (in-region or US-only) endpoints cost 10% more than global for Claude 4.5+ models. Assumed on because data stays in the US.</t>
        </is>
      </c>
      <c r="E23" s="16" t="inlineStr">
        <is>
          <t>https://platform.claude.com/docs/en/about-claude/pricing</t>
        </is>
      </c>
    </row>
    <row r="24">
      <c r="A24" s="10" t="inlineStr">
        <is>
          <t>SonnetTokenFactor</t>
        </is>
      </c>
      <c r="B24" s="20" t="n">
        <v>1.3</v>
      </c>
      <c r="C24" s="10" t="inlineStr">
        <is>
          <t>x text tokens</t>
        </is>
      </c>
      <c r="D24" s="12" t="inlineStr">
        <is>
          <t>NEW since the draft: Claude 4.7+ models (incl. Sonnet 5) use a tokenizer that makes about 30% more tokens for the same text.</t>
        </is>
      </c>
      <c r="E24" s="16" t="inlineStr">
        <is>
          <t>https://platform.claude.com/docs/en/about-claude/pricing</t>
        </is>
      </c>
    </row>
    <row r="25">
      <c r="A25" s="10" t="inlineStr">
        <is>
          <t>ImageTokens</t>
        </is>
      </c>
      <c r="B25" s="13" t="n">
        <v>1600</v>
      </c>
      <c r="C25" s="10" t="inlineStr">
        <is>
          <t>tokens/receipt</t>
        </is>
      </c>
      <c r="D25" s="12" t="inlineStr">
        <is>
          <t>1568px JPEG, ADR 0008.</t>
        </is>
      </c>
    </row>
    <row r="26">
      <c r="A26" s="10" t="inlineStr">
        <is>
          <t>PromptTokens</t>
        </is>
      </c>
      <c r="B26" s="13" t="n">
        <v>2000</v>
      </c>
      <c r="C26" s="10" t="inlineStr">
        <is>
          <t>tokens/receipt</t>
        </is>
      </c>
      <c r="D26" s="12" t="inlineStr">
        <is>
          <t>Instructions + inventory, 1-3k in ADR 0008 (midpoint). No prompt-cache discount assumed (conservative).</t>
        </is>
      </c>
    </row>
    <row r="27">
      <c r="A27" s="10" t="inlineStr">
        <is>
          <t>OutputTokens</t>
        </is>
      </c>
      <c r="B27" s="13" t="n">
        <v>500</v>
      </c>
      <c r="C27" s="10" t="inlineStr">
        <is>
          <t>tokens/receipt</t>
        </is>
      </c>
      <c r="D27" s="12" t="inlineStr">
        <is>
          <t>ADR 0008.</t>
        </is>
      </c>
    </row>
    <row r="28">
      <c r="A28" s="10" t="inlineStr">
        <is>
          <t>ReceiptsPerSeat</t>
        </is>
      </c>
      <c r="B28" s="21" t="n">
        <v>20</v>
      </c>
      <c r="C28" s="10" t="inlineStr">
        <is>
          <t>receipts/seat/month</t>
        </is>
      </c>
      <c r="D28" s="12" t="inlineStr">
        <is>
          <t>Guess. Measure in the pilot (bead supply-checkout-3ww).</t>
        </is>
      </c>
    </row>
    <row r="29">
      <c r="A29" s="10" t="inlineStr">
        <is>
          <t>ReceiptCapPerTeam</t>
        </is>
      </c>
      <c r="B29" s="13" t="n">
        <v>200</v>
      </c>
      <c r="C29" s="10" t="inlineStr">
        <is>
          <t>receipts/team/month</t>
        </is>
      </c>
      <c r="D29" s="12" t="inlineStr">
        <is>
          <t>Plan limit (ADR 0008/0009). Caps a team's receipt cost.</t>
        </is>
      </c>
    </row>
    <row r="30">
      <c r="A30" s="8" t="inlineStr">
        <is>
          <t>Per-seat AWS usage (pay-per-use; estimates)</t>
        </is>
      </c>
      <c r="B30" s="9" t="n"/>
      <c r="C30" s="9" t="n"/>
      <c r="D30" s="9" t="n"/>
      <c r="E30" s="9" t="n"/>
    </row>
    <row r="31">
      <c r="A31" s="10" t="inlineStr">
        <is>
          <t>ApiRequestsPerSeat</t>
        </is>
      </c>
      <c r="B31" s="13" t="n">
        <v>1500</v>
      </c>
      <c r="C31" s="10" t="inlineStr">
        <is>
          <t>requests/seat/month</t>
        </is>
      </c>
      <c r="D31" s="12" t="inlineStr">
        <is>
          <t>Estimate: about 70 API calls per working day.</t>
        </is>
      </c>
    </row>
    <row r="32">
      <c r="A32" s="10" t="inlineStr">
        <is>
          <t>ApiGwPrice</t>
        </is>
      </c>
      <c r="B32" s="17" t="n">
        <v>1</v>
      </c>
      <c r="C32" s="10" t="inlineStr">
        <is>
          <t>$/M requests</t>
        </is>
      </c>
      <c r="D32" s="12" t="inlineStr">
        <is>
          <t>HTTP API, first 300M requests, us-east-1.</t>
        </is>
      </c>
      <c r="E32" s="16" t="inlineStr">
        <is>
          <t>https://aws.amazon.com/api-gateway/pricing/</t>
        </is>
      </c>
    </row>
    <row r="33">
      <c r="A33" s="10" t="inlineStr">
        <is>
          <t>LambdaReqPrice</t>
        </is>
      </c>
      <c r="B33" s="17" t="n">
        <v>0.2</v>
      </c>
      <c r="C33" s="10" t="inlineStr">
        <is>
          <t>$/M requests</t>
        </is>
      </c>
      <c r="D33" s="12" t="inlineStr">
        <is>
          <t>Lambda requests.</t>
        </is>
      </c>
      <c r="E33" s="16" t="inlineStr">
        <is>
          <t>https://aws.amazon.com/lambda/pricing/</t>
        </is>
      </c>
    </row>
    <row r="34">
      <c r="A34" s="10" t="inlineStr">
        <is>
          <t>LambdaGbSeconds</t>
        </is>
      </c>
      <c r="B34" s="20" t="n">
        <v>0.1</v>
      </c>
      <c r="C34" s="10" t="inlineStr">
        <is>
          <t>GB-s/request</t>
        </is>
      </c>
      <c r="D34" s="12" t="inlineStr">
        <is>
          <t>Estimate: 512 MB for 200 ms.</t>
        </is>
      </c>
    </row>
    <row r="35">
      <c r="A35" s="10" t="inlineStr">
        <is>
          <t>LambdaGbSecPrice</t>
        </is>
      </c>
      <c r="B35" s="22" t="n">
        <v>1.33334e-05</v>
      </c>
      <c r="C35" s="10" t="inlineStr">
        <is>
          <t>$/GB-second</t>
        </is>
      </c>
      <c r="D35" s="12" t="inlineStr">
        <is>
          <t>Lambda Arm (Graviton) duration, first tier. Free tier ignored (conservative).</t>
        </is>
      </c>
      <c r="E35" s="16" t="inlineStr">
        <is>
          <t>https://aws.amazon.com/lambda/pricing/</t>
        </is>
      </c>
    </row>
    <row r="36">
      <c r="A36" s="10" t="inlineStr">
        <is>
          <t>DdbWritesPerSeat</t>
        </is>
      </c>
      <c r="B36" s="13" t="n">
        <v>600</v>
      </c>
      <c r="C36" s="10" t="inlineStr">
        <is>
          <t>WRU/seat/month</t>
        </is>
      </c>
      <c r="D36" s="12" t="inlineStr">
        <is>
          <t>Estimate: checkouts, returns, receipts, audit rows, counters.</t>
        </is>
      </c>
    </row>
    <row r="37">
      <c r="A37" s="10" t="inlineStr">
        <is>
          <t>DdbWritePrice</t>
        </is>
      </c>
      <c r="B37" s="17" t="n">
        <v>0.625</v>
      </c>
      <c r="C37" s="10" t="inlineStr">
        <is>
          <t>$/M WRU</t>
        </is>
      </c>
      <c r="D37" s="12" t="inlineStr">
        <is>
          <t>DynamoDB on-demand writes, us-east-1.</t>
        </is>
      </c>
      <c r="E37" s="16" t="inlineStr">
        <is>
          <t>https://aws.amazon.com/dynamodb/pricing/on-demand/</t>
        </is>
      </c>
    </row>
    <row r="38">
      <c r="A38" s="10" t="inlineStr">
        <is>
          <t>DdbReadsPerSeat</t>
        </is>
      </c>
      <c r="B38" s="13" t="n">
        <v>4000</v>
      </c>
      <c r="C38" s="10" t="inlineStr">
        <is>
          <t>RRU/seat/month</t>
        </is>
      </c>
      <c r="D38" s="12" t="inlineStr">
        <is>
          <t>Estimate.</t>
        </is>
      </c>
    </row>
    <row r="39">
      <c r="A39" s="10" t="inlineStr">
        <is>
          <t>DdbReadPrice</t>
        </is>
      </c>
      <c r="B39" s="17" t="n">
        <v>0.125</v>
      </c>
      <c r="C39" s="10" t="inlineStr">
        <is>
          <t>$/M RRU</t>
        </is>
      </c>
      <c r="D39" s="12" t="inlineStr">
        <is>
          <t>DynamoDB on-demand reads.</t>
        </is>
      </c>
      <c r="E39" s="16" t="inlineStr">
        <is>
          <t>https://aws.amazon.com/dynamodb/pricing/on-demand/</t>
        </is>
      </c>
    </row>
    <row r="40">
      <c r="A40" s="10" t="inlineStr">
        <is>
          <t>DdbGbPerSeat</t>
        </is>
      </c>
      <c r="B40" s="23" t="n">
        <v>0.01</v>
      </c>
      <c r="C40" s="10" t="inlineStr">
        <is>
          <t>GB/seat</t>
        </is>
      </c>
      <c r="D40" s="12" t="inlineStr">
        <is>
          <t>Estimate: 10 MB of items per seat.</t>
        </is>
      </c>
    </row>
    <row r="41">
      <c r="A41" s="10" t="inlineStr">
        <is>
          <t>DdbStoragePrice</t>
        </is>
      </c>
      <c r="B41" s="17" t="n">
        <v>0.45</v>
      </c>
      <c r="C41" s="10" t="inlineStr">
        <is>
          <t>$/GB-month</t>
        </is>
      </c>
      <c r="D41" s="12" t="inlineStr">
        <is>
          <t>Standard storage $0.25 + PITR $0.20 per GB-month.</t>
        </is>
      </c>
      <c r="E41" s="16" t="inlineStr">
        <is>
          <t>https://aws.amazon.com/dynamodb/pricing/on-demand/</t>
        </is>
      </c>
    </row>
    <row r="42">
      <c r="A42" s="10" t="inlineStr">
        <is>
          <t>RealtimeConnMinPerSeat</t>
        </is>
      </c>
      <c r="B42" s="13" t="n">
        <v>10000</v>
      </c>
      <c r="C42" s="10" t="inlineStr">
        <is>
          <t>connection-min/seat/month</t>
        </is>
      </c>
      <c r="D42" s="12" t="inlineStr">
        <is>
          <t>Estimate: app open about 8 hours on 21 working days.</t>
        </is>
      </c>
    </row>
    <row r="43">
      <c r="A43" s="10" t="inlineStr">
        <is>
          <t>AppSyncConnPrice</t>
        </is>
      </c>
      <c r="B43" s="17" t="n">
        <v>0.08</v>
      </c>
      <c r="C43" s="10" t="inlineStr">
        <is>
          <t>$/M connection-min</t>
        </is>
      </c>
      <c r="D43" s="12" t="inlineStr">
        <is>
          <t>AppSync Events connection minutes.</t>
        </is>
      </c>
      <c r="E43" s="16" t="inlineStr">
        <is>
          <t>https://aws.amazon.com/appsync/pricing/</t>
        </is>
      </c>
    </row>
    <row r="44">
      <c r="A44" s="10" t="inlineStr">
        <is>
          <t>RealtimeOpsPerSeat</t>
        </is>
      </c>
      <c r="B44" s="13" t="n">
        <v>12000</v>
      </c>
      <c r="C44" s="10" t="inlineStr">
        <is>
          <t>operations/seat/month</t>
        </is>
      </c>
      <c r="D44" s="12" t="inlineStr">
        <is>
          <t>Estimate: broadcasts, subscribes and keep-alive pings.</t>
        </is>
      </c>
    </row>
    <row r="45">
      <c r="A45" s="10" t="inlineStr">
        <is>
          <t>AppSyncOpPrice</t>
        </is>
      </c>
      <c r="B45" s="17" t="n">
        <v>1</v>
      </c>
      <c r="C45" s="10" t="inlineStr">
        <is>
          <t>$/M operations</t>
        </is>
      </c>
      <c r="D45" s="12" t="inlineStr">
        <is>
          <t>AppSync Events API operations.</t>
        </is>
      </c>
      <c r="E45" s="16" t="inlineStr">
        <is>
          <t>https://aws.amazon.com/appsync/pricing/</t>
        </is>
      </c>
    </row>
    <row r="46">
      <c r="A46" s="10" t="inlineStr">
        <is>
          <t>EmailsPerSeat</t>
        </is>
      </c>
      <c r="B46" s="13" t="n">
        <v>10</v>
      </c>
      <c r="C46" s="10" t="inlineStr">
        <is>
          <t>emails/seat/month</t>
        </is>
      </c>
      <c r="D46" s="12" t="inlineStr">
        <is>
          <t>Estimate: invites, sign-in codes, billing mail.</t>
        </is>
      </c>
    </row>
    <row r="47">
      <c r="A47" s="10" t="inlineStr">
        <is>
          <t>SesPrice</t>
        </is>
      </c>
      <c r="B47" s="17" t="n">
        <v>0.1</v>
      </c>
      <c r="C47" s="10" t="inlineStr">
        <is>
          <t>$/1,000 emails</t>
        </is>
      </c>
      <c r="D47" s="12" t="inlineStr">
        <is>
          <t>SES a la carte outbound rate (SES now also sells plans; not needed at this volume).</t>
        </is>
      </c>
      <c r="E47" s="16" t="inlineStr">
        <is>
          <t>https://aws.amazon.com/ses/pricing/</t>
        </is>
      </c>
    </row>
    <row r="48">
      <c r="A48" s="10" t="inlineStr">
        <is>
          <t>LogGbPerSeat</t>
        </is>
      </c>
      <c r="B48" s="23" t="n">
        <v>0.005</v>
      </c>
      <c r="C48" s="10" t="inlineStr">
        <is>
          <t>GB/seat/month</t>
        </is>
      </c>
      <c r="D48" s="12" t="inlineStr">
        <is>
          <t>Estimate: 5 MB of Lambda and API logs per seat.</t>
        </is>
      </c>
    </row>
    <row r="49">
      <c r="A49" s="10" t="inlineStr">
        <is>
          <t>LogIngestPrice</t>
        </is>
      </c>
      <c r="B49" s="17" t="n">
        <v>0.5</v>
      </c>
      <c r="C49" s="10" t="inlineStr">
        <is>
          <t>$/GB</t>
        </is>
      </c>
      <c r="D49" s="12" t="inlineStr">
        <is>
          <t>CloudWatch Logs standard ingestion.</t>
        </is>
      </c>
      <c r="E49" s="16" t="inlineStr">
        <is>
          <t>https://aws.amazon.com/cloudwatch/pricing/</t>
        </is>
      </c>
    </row>
    <row r="50">
      <c r="A50" s="10" t="inlineStr">
        <is>
          <t>CognitoFreeMau</t>
        </is>
      </c>
      <c r="B50" s="13" t="n">
        <v>10000</v>
      </c>
      <c r="C50" s="10" t="inlineStr">
        <is>
          <t>MAU</t>
        </is>
      </c>
      <c r="D50" s="12" t="inlineStr">
        <is>
          <t>Cognito Essentials: 10,000 MAU free every month (does not expire).</t>
        </is>
      </c>
      <c r="E50" s="16" t="inlineStr">
        <is>
          <t>https://aws.amazon.com/cognito/pricing/</t>
        </is>
      </c>
    </row>
    <row r="51">
      <c r="A51" s="10" t="inlineStr">
        <is>
          <t>CognitoMauPrice</t>
        </is>
      </c>
      <c r="B51" s="24" t="n">
        <v>0.015</v>
      </c>
      <c r="C51" s="10" t="inlineStr">
        <is>
          <t>$/MAU</t>
        </is>
      </c>
      <c r="D51" s="12" t="inlineStr">
        <is>
          <t>Cognito Essentials above the free tier.</t>
        </is>
      </c>
      <c r="E51" s="16" t="inlineStr">
        <is>
          <t>https://aws.amazon.com/cognito/pricing/</t>
        </is>
      </c>
    </row>
    <row r="52">
      <c r="A52" s="10" t="inlineStr">
        <is>
          <t>AwsSafetyFactor</t>
        </is>
      </c>
      <c r="B52" s="25" t="n">
        <v>2</v>
      </c>
      <c r="C52" s="10" t="inlineStr">
        <is>
          <t>x</t>
        </is>
      </c>
      <c r="D52" s="12" t="inlineStr">
        <is>
          <t>Multiplier on the per-seat AWS estimate for things not listed (CloudFront, S3, KMS calls, retries).</t>
        </is>
      </c>
    </row>
    <row r="53">
      <c r="A53" s="8" t="inlineStr">
        <is>
          <t>Fixed AWS unit prices (us-east-1)</t>
        </is>
      </c>
      <c r="B53" s="9" t="n"/>
      <c r="C53" s="9" t="n"/>
      <c r="D53" s="9" t="n"/>
      <c r="E53" s="9" t="n"/>
    </row>
    <row r="54">
      <c r="A54" s="10" t="inlineStr">
        <is>
          <t>R53ZonePrice</t>
        </is>
      </c>
      <c r="B54" s="17" t="n">
        <v>0.5</v>
      </c>
      <c r="C54" s="10" t="inlineStr">
        <is>
          <t>$/zone/month</t>
        </is>
      </c>
      <c r="D54" s="12" t="inlineStr">
        <is>
          <t>Route 53 hosted zone, first 25.</t>
        </is>
      </c>
      <c r="E54" s="16" t="inlineStr">
        <is>
          <t>https://aws.amazon.com/route53/pricing/</t>
        </is>
      </c>
    </row>
    <row r="55">
      <c r="A55" s="10" t="inlineStr">
        <is>
          <t>R53HealthCheckHttps</t>
        </is>
      </c>
      <c r="B55" s="17" t="n">
        <v>1</v>
      </c>
      <c r="C55" s="10" t="inlineStr">
        <is>
          <t>$/check/month</t>
        </is>
      </c>
      <c r="D55" s="12" t="inlineStr">
        <is>
          <t>Health check on an AWS endpoint: basic check free (first 50), HTTPS option about $1.</t>
        </is>
      </c>
      <c r="E55" s="16" t="inlineStr">
        <is>
          <t>https://aws.amazon.com/route53/pricing/</t>
        </is>
      </c>
    </row>
    <row r="56">
      <c r="A56" s="10" t="inlineStr">
        <is>
          <t>R53QueryPrice</t>
        </is>
      </c>
      <c r="B56" s="17" t="n">
        <v>0.4</v>
      </c>
      <c r="C56" s="10" t="inlineStr">
        <is>
          <t>$/M queries</t>
        </is>
      </c>
      <c r="D56" s="12" t="inlineStr">
        <is>
          <t>Standard queries (latency routing is $0.60 in phase 2).</t>
        </is>
      </c>
      <c r="E56" s="16" t="inlineStr">
        <is>
          <t>https://aws.amazon.com/route53/pricing/</t>
        </is>
      </c>
    </row>
    <row r="57">
      <c r="A57" s="10" t="inlineStr">
        <is>
          <t>KmsKeyPrice</t>
        </is>
      </c>
      <c r="B57" s="17" t="n">
        <v>1</v>
      </c>
      <c r="C57" s="10" t="inlineStr">
        <is>
          <t>$/key/month</t>
        </is>
      </c>
      <c r="D57" s="12" t="inlineStr">
        <is>
          <t>Customer-managed key. Each of the first two rotations adds $1/month.</t>
        </is>
      </c>
      <c r="E57" s="16" t="inlineStr">
        <is>
          <t>https://aws.amazon.com/kms/pricing/</t>
        </is>
      </c>
    </row>
    <row r="58">
      <c r="A58" s="10" t="inlineStr">
        <is>
          <t>SecretPrice</t>
        </is>
      </c>
      <c r="B58" s="17" t="n">
        <v>0.4</v>
      </c>
      <c r="C58" s="10" t="inlineStr">
        <is>
          <t>$/secret/month</t>
        </is>
      </c>
      <c r="D58" s="12" t="inlineStr">
        <is>
          <t>Secrets Manager.</t>
        </is>
      </c>
      <c r="E58" s="16" t="inlineStr">
        <is>
          <t>https://aws.amazon.com/secrets-manager/pricing/</t>
        </is>
      </c>
    </row>
    <row r="59">
      <c r="A59" s="10" t="inlineStr">
        <is>
          <t>CanaryRunPrice</t>
        </is>
      </c>
      <c r="B59" s="26" t="n">
        <v>0.0012</v>
      </c>
      <c r="C59" s="10" t="inlineStr">
        <is>
          <t>$/run</t>
        </is>
      </c>
      <c r="D59" s="12" t="inlineStr">
        <is>
          <t>CloudWatch Synthetics. The official page lists 100 free runs a month; its paid rate did not render when checked, $0.0012 is the widely reported rate. Confirm in the AWS Pricing Calculator.</t>
        </is>
      </c>
      <c r="E59" s="16" t="inlineStr">
        <is>
          <t>https://aws.amazon.com/cloudwatch/pricing/</t>
        </is>
      </c>
    </row>
    <row r="60">
      <c r="A60" s="10" t="inlineStr">
        <is>
          <t>CanaryFreeRuns</t>
        </is>
      </c>
      <c r="B60" s="13" t="n">
        <v>100</v>
      </c>
      <c r="C60" s="10" t="inlineStr">
        <is>
          <t>runs/month</t>
        </is>
      </c>
      <c r="D60" s="12" t="inlineStr">
        <is>
          <t>Synthetics free tier.</t>
        </is>
      </c>
      <c r="E60" s="16" t="inlineStr">
        <is>
          <t>https://aws.amazon.com/cloudwatch/pricing/</t>
        </is>
      </c>
    </row>
    <row r="61">
      <c r="A61" s="10" t="inlineStr">
        <is>
          <t>CoreCanaryRunsPerDay</t>
        </is>
      </c>
      <c r="B61" s="13" t="n">
        <v>144</v>
      </c>
      <c r="C61" s="10" t="inlineStr">
        <is>
          <t>runs/day</t>
        </is>
      </c>
      <c r="D61" s="12" t="inlineStr">
        <is>
          <t>Core journey canary every 5 minutes, 8am-8pm Eastern (docs/journeys.md).</t>
        </is>
      </c>
    </row>
    <row r="62">
      <c r="A62" s="10" t="inlineStr">
        <is>
          <t>SignupCanaryRunsPerDay</t>
        </is>
      </c>
      <c r="B62" s="13" t="n">
        <v>96</v>
      </c>
      <c r="C62" s="10" t="inlineStr">
        <is>
          <t>runs/day</t>
        </is>
      </c>
      <c r="D62" s="12" t="inlineStr">
        <is>
          <t>Sign-up canary every 15 minutes, all day (docs/journeys.md).</t>
        </is>
      </c>
    </row>
    <row r="63">
      <c r="A63" s="10" t="inlineStr">
        <is>
          <t>DaysPerMonth</t>
        </is>
      </c>
      <c r="B63" s="25" t="n">
        <v>30.4</v>
      </c>
      <c r="C63" s="10" t="inlineStr">
        <is>
          <t>days</t>
        </is>
      </c>
      <c r="D63" s="12" t="inlineStr">
        <is>
          <t>Average month.</t>
        </is>
      </c>
    </row>
    <row r="64">
      <c r="A64" s="10" t="inlineStr">
        <is>
          <t>WafAclPrice</t>
        </is>
      </c>
      <c r="B64" s="17" t="n">
        <v>5</v>
      </c>
      <c r="C64" s="10" t="inlineStr">
        <is>
          <t>$/web ACL/month</t>
        </is>
      </c>
      <c r="D64" s="12" t="inlineStr">
        <is>
          <t>AWS WAF.</t>
        </is>
      </c>
      <c r="E64" s="16" t="inlineStr">
        <is>
          <t>https://aws.amazon.com/waf/pricing/</t>
        </is>
      </c>
    </row>
    <row r="65">
      <c r="A65" s="10" t="inlineStr">
        <is>
          <t>WafRulePrice</t>
        </is>
      </c>
      <c r="B65" s="17" t="n">
        <v>1</v>
      </c>
      <c r="C65" s="10" t="inlineStr">
        <is>
          <t>$/rule/month</t>
        </is>
      </c>
      <c r="D65" s="12" t="inlineStr">
        <is>
          <t>Per rule or AWS managed rule group.</t>
        </is>
      </c>
      <c r="E65" s="16" t="inlineStr">
        <is>
          <t>https://aws.amazon.com/waf/pricing/</t>
        </is>
      </c>
    </row>
    <row r="66">
      <c r="A66" s="10" t="inlineStr">
        <is>
          <t>WafReqPrice</t>
        </is>
      </c>
      <c r="B66" s="17" t="n">
        <v>0.6</v>
      </c>
      <c r="C66" s="10" t="inlineStr">
        <is>
          <t>$/M requests</t>
        </is>
      </c>
      <c r="D66" s="12" t="inlineStr">
        <is>
          <t>AWS WAF requests.</t>
        </is>
      </c>
      <c r="E66" s="16" t="inlineStr">
        <is>
          <t>https://aws.amazon.com/waf/pricing/</t>
        </is>
      </c>
    </row>
    <row r="67">
      <c r="A67" s="10" t="inlineStr">
        <is>
          <t>AlarmPrice</t>
        </is>
      </c>
      <c r="B67" s="17" t="n">
        <v>0.1</v>
      </c>
      <c r="C67" s="10" t="inlineStr">
        <is>
          <t>$/alarm/month</t>
        </is>
      </c>
      <c r="D67" s="12" t="inlineStr">
        <is>
          <t>Standard alarm (10 free).</t>
        </is>
      </c>
      <c r="E67" s="16" t="inlineStr">
        <is>
          <t>https://aws.amazon.com/cloudwatch/pricing/</t>
        </is>
      </c>
    </row>
    <row r="68">
      <c r="A68" s="10" t="inlineStr">
        <is>
          <t>MetricPrice</t>
        </is>
      </c>
      <c r="B68" s="17" t="n">
        <v>0.3</v>
      </c>
      <c r="C68" s="10" t="inlineStr">
        <is>
          <t>$/metric/month</t>
        </is>
      </c>
      <c r="D68" s="12" t="inlineStr">
        <is>
          <t>Custom metric (10 free).</t>
        </is>
      </c>
      <c r="E68" s="16" t="inlineStr">
        <is>
          <t>https://aws.amazon.com/cloudwatch/pricing/</t>
        </is>
      </c>
    </row>
    <row r="69">
      <c r="A69" s="10" t="inlineStr">
        <is>
          <t>DashboardPrice</t>
        </is>
      </c>
      <c r="B69" s="17" t="n">
        <v>3</v>
      </c>
      <c r="C69" s="10" t="inlineStr">
        <is>
          <t>$/dashboard/month</t>
        </is>
      </c>
      <c r="D69" s="12" t="inlineStr">
        <is>
          <t>Custom dashboard (3 free).</t>
        </is>
      </c>
      <c r="E69" s="16" t="inlineStr">
        <is>
          <t>https://aws.amazon.com/cloudwatch/pricing/</t>
        </is>
      </c>
    </row>
    <row r="70">
      <c r="A70" s="10" t="inlineStr">
        <is>
          <t>Phase2Multiplier</t>
        </is>
      </c>
      <c r="B70" s="25" t="n">
        <v>2</v>
      </c>
      <c r="C70" s="10" t="inlineStr">
        <is>
          <t>x</t>
        </is>
      </c>
      <c r="D70" s="12" t="inlineStr">
        <is>
          <t>Phase 2 adds us-west-2 and roughly doubles fixed cost (ADR 0010). Shown for reference only.</t>
        </is>
      </c>
    </row>
    <row r="71">
      <c r="A71" s="8" t="inlineStr">
        <is>
          <t>Other fixed costs (estimates; owner to confirm)</t>
        </is>
      </c>
      <c r="B71" s="9" t="n"/>
      <c r="C71" s="9" t="n"/>
      <c r="D71" s="9" t="n"/>
      <c r="E71" s="9" t="n"/>
    </row>
    <row r="72">
      <c r="A72" s="10" t="inlineStr">
        <is>
          <t>ToolingMonthly</t>
        </is>
      </c>
      <c r="B72" s="17" t="n">
        <v>15</v>
      </c>
      <c r="C72" s="10" t="inlineStr">
        <is>
          <t>$/month</t>
        </is>
      </c>
      <c r="D72" s="12" t="inlineStr">
        <is>
          <t>Domain renewal, support mailbox, small SaaS tools. Estimate from the draft.</t>
        </is>
      </c>
    </row>
    <row r="73">
      <c r="A73" s="10" t="inlineStr">
        <is>
          <t>OverheadMonthly</t>
        </is>
      </c>
      <c r="B73" s="11" t="n">
        <v>150</v>
      </c>
      <c r="C73" s="10" t="inlineStr">
        <is>
          <t>$/month</t>
        </is>
      </c>
      <c r="D73" s="12" t="inlineStr">
        <is>
          <t>Registered agent, state fees, accounting, insurance. Wide range; owner to confirm.</t>
        </is>
      </c>
    </row>
    <row r="74">
      <c r="A74" s="10" t="inlineStr">
        <is>
          <t>MobileAppsLive</t>
        </is>
      </c>
      <c r="B74" s="18" t="n">
        <v>0</v>
      </c>
      <c r="C74" s="10" t="inlineStr">
        <is>
          <t>0 = no, 1 = yes</t>
        </is>
      </c>
      <c r="D74" s="12" t="inlineStr">
        <is>
          <t>Native apps are phase 2. Turn on to add store developer fees.</t>
        </is>
      </c>
    </row>
    <row r="75">
      <c r="A75" s="10" t="inlineStr">
        <is>
          <t>AppleDevAnnual</t>
        </is>
      </c>
      <c r="B75" s="17" t="n">
        <v>99</v>
      </c>
      <c r="C75" s="10" t="inlineStr">
        <is>
          <t>$/year</t>
        </is>
      </c>
      <c r="D75" s="12" t="inlineStr">
        <is>
          <t>Apple Developer Program membership.</t>
        </is>
      </c>
      <c r="E75" s="16" t="inlineStr">
        <is>
          <t>https://developer.apple.com/programs/whats-included/</t>
        </is>
      </c>
    </row>
    <row r="76">
      <c r="A76" s="10" t="inlineStr">
        <is>
          <t>GooglePlayOneTime</t>
        </is>
      </c>
      <c r="B76" s="17" t="n">
        <v>25</v>
      </c>
      <c r="C76" s="10" t="inlineStr">
        <is>
          <t>$ one-time</t>
        </is>
      </c>
      <c r="D76" s="12" t="inlineStr">
        <is>
          <t>Google Play developer registration, spread over 24 months below.</t>
        </is>
      </c>
      <c r="E76" s="16" t="inlineStr">
        <is>
          <t>https://support.google.com/googleplay/android-developer/answer/6112435</t>
        </is>
      </c>
    </row>
    <row r="77">
      <c r="A77" s="8" t="inlineStr">
        <is>
          <t>Break-even and projection</t>
        </is>
      </c>
      <c r="B77" s="9" t="n"/>
      <c r="C77" s="9" t="n"/>
      <c r="D77" s="9" t="n"/>
      <c r="E77" s="9" t="n"/>
    </row>
    <row r="78">
      <c r="A78" s="10" t="inlineStr">
        <is>
          <t>AvgSeatsPerTeam</t>
        </is>
      </c>
      <c r="B78" s="27" t="n">
        <v>4</v>
      </c>
      <c r="C78" s="10" t="inlineStr">
        <is>
          <t>seats/team</t>
        </is>
      </c>
      <c r="D78" s="12" t="inlineStr">
        <is>
          <t>Guess used for break-even and the projection.</t>
        </is>
      </c>
    </row>
    <row r="80">
      <c r="A80" s="8" t="inlineStr">
        <is>
          <t>Derived (formulas, do not edit)</t>
        </is>
      </c>
      <c r="B80" s="9" t="n"/>
      <c r="C80" s="9" t="n"/>
      <c r="D80" s="9" t="n"/>
      <c r="E80" s="9" t="n"/>
    </row>
    <row r="81">
      <c r="A81" s="10" t="inlineStr">
        <is>
          <t>HaikuPerReceipt</t>
        </is>
      </c>
      <c r="B81" s="28">
        <f>((ImageTokens+PromptTokens)*HaikuIn+OutputTokens*HaikuOut)/1000000*(1+BedrockRegionalPremium)</f>
        <v/>
      </c>
      <c r="C81" s="10" t="inlineStr">
        <is>
          <t>$/receipt</t>
        </is>
      </c>
      <c r="D81" s="10" t="inlineStr">
        <is>
          <t>Claude Haiku 4.5 cost per receipt.</t>
        </is>
      </c>
    </row>
    <row r="82">
      <c r="A82" s="10" t="inlineStr">
        <is>
          <t>SonnetPerReceipt</t>
        </is>
      </c>
      <c r="B82" s="28">
        <f>((ImageTokens+PromptTokens*SonnetTokenFactor)*SonnetIn+OutputTokens*SonnetTokenFactor*SonnetOut)/1000000*(1+BedrockRegionalPremium)</f>
        <v/>
      </c>
      <c r="C82" s="10" t="inlineStr">
        <is>
          <t>$/receipt</t>
        </is>
      </c>
      <c r="D82" s="10" t="inlineStr">
        <is>
          <t>Claude Sonnet 5 cost per receipt.</t>
        </is>
      </c>
    </row>
    <row r="83">
      <c r="A83" s="10" t="inlineStr">
        <is>
          <t>CostPerReceipt</t>
        </is>
      </c>
      <c r="B83" s="28">
        <f>IF(ReceiptModel=2,SonnetPerReceipt,HaikuPerReceipt)</f>
        <v/>
      </c>
      <c r="C83" s="10" t="inlineStr">
        <is>
          <t>$/receipt</t>
        </is>
      </c>
      <c r="D83" s="10" t="inlineStr">
        <is>
          <t>Model chosen by ReceiptModel.</t>
        </is>
      </c>
    </row>
    <row r="84">
      <c r="A84" s="10" t="inlineStr">
        <is>
          <t>StripeVarPct</t>
        </is>
      </c>
      <c r="B84" s="29">
        <f>StripePct+StripeBillingPct+StripeTaxPct*StripeTaxOn+StripeIntlPct*IntlCardShare</f>
        <v/>
      </c>
      <c r="C84" s="10" t="inlineStr">
        <is>
          <t>% of revenue</t>
        </is>
      </c>
      <c r="D84" s="10" t="inlineStr">
        <is>
          <t>All percentage Stripe fees.</t>
        </is>
      </c>
    </row>
    <row r="85">
      <c r="A85" s="10" t="inlineStr">
        <is>
          <t>AwsPerSeat</t>
        </is>
      </c>
      <c r="B85" s="28">
        <f>AwsSafetyFactor*(ApiRequestsPerSeat*(ApiGwPrice+LambdaReqPrice)/1000000+ApiRequestsPerSeat*LambdaGbSeconds*LambdaGbSecPrice+DdbWritesPerSeat*DdbWritePrice/1000000+DdbReadsPerSeat*DdbReadPrice/1000000+DdbGbPerSeat*DdbStoragePrice+RealtimeConnMinPerSeat*AppSyncConnPrice/1000000+RealtimeOpsPerSeat*AppSyncOpPrice/1000000+EmailsPerSeat*SesPrice/1000+LogGbPerSeat*LogIngestPrice)</f>
        <v/>
      </c>
      <c r="C85" s="10" t="inlineStr">
        <is>
          <t>$/seat/month</t>
        </is>
      </c>
      <c r="D85" s="10" t="inlineStr">
        <is>
          <t>Pay-per-use AWS per seat, excluding Cognito and Bedrock, times the safety factor.</t>
        </is>
      </c>
    </row>
    <row r="86">
      <c r="A86" s="10" t="inlineStr">
        <is>
          <t>AppStoreMonthly</t>
        </is>
      </c>
      <c r="B86" s="30">
        <f>MobileAppsLive*(AppleDevAnnual/12+GooglePlayOneTime/24)</f>
        <v/>
      </c>
      <c r="C86" s="10" t="inlineStr">
        <is>
          <t>$/month</t>
        </is>
      </c>
      <c r="D86" s="10" t="inlineStr">
        <is>
          <t>Store developer fees. No commission: web billing only (ADR 0013).</t>
        </is>
      </c>
    </row>
  </sheetData>
  <hyperlinks>
    <hyperlink xmlns:r="http://schemas.openxmlformats.org/officeDocument/2006/relationships" ref="E10" r:id="rId1"/>
    <hyperlink xmlns:r="http://schemas.openxmlformats.org/officeDocument/2006/relationships" ref="E11" r:id="rId2"/>
    <hyperlink xmlns:r="http://schemas.openxmlformats.org/officeDocument/2006/relationships" ref="E12" r:id="rId3"/>
    <hyperlink xmlns:r="http://schemas.openxmlformats.org/officeDocument/2006/relationships" ref="E13" r:id="rId4"/>
    <hyperlink xmlns:r="http://schemas.openxmlformats.org/officeDocument/2006/relationships" ref="E15" r:id="rId5"/>
    <hyperlink xmlns:r="http://schemas.openxmlformats.org/officeDocument/2006/relationships" ref="E16" r:id="rId6"/>
    <hyperlink xmlns:r="http://schemas.openxmlformats.org/officeDocument/2006/relationships" ref="E19" r:id="rId7"/>
    <hyperlink xmlns:r="http://schemas.openxmlformats.org/officeDocument/2006/relationships" ref="E20" r:id="rId8"/>
    <hyperlink xmlns:r="http://schemas.openxmlformats.org/officeDocument/2006/relationships" ref="E21" r:id="rId9"/>
    <hyperlink xmlns:r="http://schemas.openxmlformats.org/officeDocument/2006/relationships" ref="E22" r:id="rId10"/>
    <hyperlink xmlns:r="http://schemas.openxmlformats.org/officeDocument/2006/relationships" ref="E23" r:id="rId11"/>
    <hyperlink xmlns:r="http://schemas.openxmlformats.org/officeDocument/2006/relationships" ref="E24" r:id="rId12"/>
    <hyperlink xmlns:r="http://schemas.openxmlformats.org/officeDocument/2006/relationships" ref="E32" r:id="rId13"/>
    <hyperlink xmlns:r="http://schemas.openxmlformats.org/officeDocument/2006/relationships" ref="E33" r:id="rId14"/>
    <hyperlink xmlns:r="http://schemas.openxmlformats.org/officeDocument/2006/relationships" ref="E35" r:id="rId15"/>
    <hyperlink xmlns:r="http://schemas.openxmlformats.org/officeDocument/2006/relationships" ref="E37" r:id="rId16"/>
    <hyperlink xmlns:r="http://schemas.openxmlformats.org/officeDocument/2006/relationships" ref="E39" r:id="rId17"/>
    <hyperlink xmlns:r="http://schemas.openxmlformats.org/officeDocument/2006/relationships" ref="E41" r:id="rId18"/>
    <hyperlink xmlns:r="http://schemas.openxmlformats.org/officeDocument/2006/relationships" ref="E43" r:id="rId19"/>
    <hyperlink xmlns:r="http://schemas.openxmlformats.org/officeDocument/2006/relationships" ref="E45" r:id="rId20"/>
    <hyperlink xmlns:r="http://schemas.openxmlformats.org/officeDocument/2006/relationships" ref="E47" r:id="rId21"/>
    <hyperlink xmlns:r="http://schemas.openxmlformats.org/officeDocument/2006/relationships" ref="E49" r:id="rId22"/>
    <hyperlink xmlns:r="http://schemas.openxmlformats.org/officeDocument/2006/relationships" ref="E50" r:id="rId23"/>
    <hyperlink xmlns:r="http://schemas.openxmlformats.org/officeDocument/2006/relationships" ref="E51" r:id="rId24"/>
    <hyperlink xmlns:r="http://schemas.openxmlformats.org/officeDocument/2006/relationships" ref="E54" r:id="rId25"/>
    <hyperlink xmlns:r="http://schemas.openxmlformats.org/officeDocument/2006/relationships" ref="E55" r:id="rId26"/>
    <hyperlink xmlns:r="http://schemas.openxmlformats.org/officeDocument/2006/relationships" ref="E56" r:id="rId27"/>
    <hyperlink xmlns:r="http://schemas.openxmlformats.org/officeDocument/2006/relationships" ref="E57" r:id="rId28"/>
    <hyperlink xmlns:r="http://schemas.openxmlformats.org/officeDocument/2006/relationships" ref="E58" r:id="rId29"/>
    <hyperlink xmlns:r="http://schemas.openxmlformats.org/officeDocument/2006/relationships" ref="E59" r:id="rId30"/>
    <hyperlink xmlns:r="http://schemas.openxmlformats.org/officeDocument/2006/relationships" ref="E60" r:id="rId31"/>
    <hyperlink xmlns:r="http://schemas.openxmlformats.org/officeDocument/2006/relationships" ref="E64" r:id="rId32"/>
    <hyperlink xmlns:r="http://schemas.openxmlformats.org/officeDocument/2006/relationships" ref="E65" r:id="rId33"/>
    <hyperlink xmlns:r="http://schemas.openxmlformats.org/officeDocument/2006/relationships" ref="E66" r:id="rId34"/>
    <hyperlink xmlns:r="http://schemas.openxmlformats.org/officeDocument/2006/relationships" ref="E67" r:id="rId35"/>
    <hyperlink xmlns:r="http://schemas.openxmlformats.org/officeDocument/2006/relationships" ref="E68" r:id="rId36"/>
    <hyperlink xmlns:r="http://schemas.openxmlformats.org/officeDocument/2006/relationships" ref="E69" r:id="rId37"/>
    <hyperlink xmlns:r="http://schemas.openxmlformats.org/officeDocument/2006/relationships" ref="E75" r:id="rId38"/>
    <hyperlink xmlns:r="http://schemas.openxmlformats.org/officeDocument/2006/relationships" ref="E76" r:id="rId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3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50" customWidth="1" min="9" max="9"/>
  </cols>
  <sheetData>
    <row r="1">
      <c r="A1" s="5" t="inlineStr">
        <is>
          <t>Fixed monthly AWS cost per environment (MVP: us-east-1 only, ADR 0010)</t>
        </is>
      </c>
    </row>
    <row r="2">
      <c r="A2" s="6" t="inlineStr">
        <is>
          <t>Quantities (blue) are inputs. Unit prices link to Assumptions. Each environment is its own AWS account (ADR 0003).</t>
        </is>
      </c>
    </row>
    <row r="4">
      <c r="A4" s="7" t="inlineStr">
        <is>
          <t>Item</t>
        </is>
      </c>
      <c r="B4" s="7" t="inlineStr">
        <is>
          <t>Unit price</t>
        </is>
      </c>
      <c r="C4" s="7" t="inlineStr">
        <is>
          <t>Qty prod</t>
        </is>
      </c>
      <c r="D4" s="7" t="inlineStr">
        <is>
          <t>Qty staging</t>
        </is>
      </c>
      <c r="E4" s="7" t="inlineStr">
        <is>
          <t>Qty dev</t>
        </is>
      </c>
      <c r="F4" s="7" t="inlineStr">
        <is>
          <t>Prod $</t>
        </is>
      </c>
      <c r="G4" s="7" t="inlineStr">
        <is>
          <t>Staging $</t>
        </is>
      </c>
      <c r="H4" s="7" t="inlineStr">
        <is>
          <t>Dev $</t>
        </is>
      </c>
      <c r="I4" s="7" t="inlineStr">
        <is>
          <t>Notes</t>
        </is>
      </c>
    </row>
    <row r="5">
      <c r="A5" s="10" t="inlineStr">
        <is>
          <t>Route 53 hosted zone</t>
        </is>
      </c>
      <c r="B5" s="31">
        <f>R53ZonePrice</f>
        <v/>
      </c>
      <c r="C5" s="32" t="n">
        <v>1</v>
      </c>
      <c r="D5" s="32" t="n">
        <v>1</v>
      </c>
      <c r="E5" s="32" t="n">
        <v>1</v>
      </c>
      <c r="F5" s="30">
        <f>$B5*C5</f>
        <v/>
      </c>
      <c r="G5" s="30">
        <f>$B5*D5</f>
        <v/>
      </c>
      <c r="H5" s="30">
        <f>$B5*E5</f>
        <v/>
      </c>
      <c r="I5" s="6" t="inlineStr">
        <is>
          <t>Apex zone in prod; delegated subdomain zones in staging and dev.</t>
        </is>
      </c>
    </row>
    <row r="6">
      <c r="A6" s="10" t="inlineStr">
        <is>
          <t>Route 53 health check with HTTPS</t>
        </is>
      </c>
      <c r="B6" s="31">
        <f>R53HealthCheckHttps</f>
        <v/>
      </c>
      <c r="C6" s="32" t="n">
        <v>1</v>
      </c>
      <c r="D6" s="32" t="n">
        <v>0</v>
      </c>
      <c r="E6" s="32" t="n">
        <v>0</v>
      </c>
      <c r="F6" s="30">
        <f>$B6*C6</f>
        <v/>
      </c>
      <c r="G6" s="30">
        <f>$B6*D6</f>
        <v/>
      </c>
      <c r="H6" s="30">
        <f>$B6*E6</f>
        <v/>
      </c>
      <c r="I6" s="6" t="inlineStr">
        <is>
          <t>api /health check (ADR 0010).</t>
        </is>
      </c>
    </row>
    <row r="7">
      <c r="A7" s="10" t="inlineStr">
        <is>
          <t>Route 53 DNS queries (millions)</t>
        </is>
      </c>
      <c r="B7" s="31">
        <f>R53QueryPrice</f>
        <v/>
      </c>
      <c r="C7" s="32" t="n">
        <v>1</v>
      </c>
      <c r="D7" s="32" t="n">
        <v>0.1</v>
      </c>
      <c r="E7" s="32" t="n">
        <v>0.1</v>
      </c>
      <c r="F7" s="30">
        <f>$B7*C7</f>
        <v/>
      </c>
      <c r="G7" s="30">
        <f>$B7*D7</f>
        <v/>
      </c>
      <c r="H7" s="30">
        <f>$B7*E7</f>
        <v/>
      </c>
      <c r="I7" s="6" t="inlineStr">
        <is>
          <t>Estimate.</t>
        </is>
      </c>
    </row>
    <row r="8">
      <c r="A8" s="10" t="inlineStr">
        <is>
          <t>KMS customer-managed keys</t>
        </is>
      </c>
      <c r="B8" s="31">
        <f>KmsKeyPrice</f>
        <v/>
      </c>
      <c r="C8" s="32" t="n">
        <v>2</v>
      </c>
      <c r="D8" s="32" t="n">
        <v>2</v>
      </c>
      <c r="E8" s="32" t="n">
        <v>1</v>
      </c>
      <c r="F8" s="30">
        <f>$B8*C8</f>
        <v/>
      </c>
      <c r="G8" s="30">
        <f>$B8*D8</f>
        <v/>
      </c>
      <c r="H8" s="30">
        <f>$B8*E8</f>
        <v/>
      </c>
      <c r="I8" s="6" t="inlineStr">
        <is>
          <t>DynamoDB table key and secrets/backup key.</t>
        </is>
      </c>
    </row>
    <row r="9">
      <c r="A9" s="10" t="inlineStr">
        <is>
          <t>Secrets Manager secrets</t>
        </is>
      </c>
      <c r="B9" s="31">
        <f>SecretPrice</f>
        <v/>
      </c>
      <c r="C9" s="32" t="n">
        <v>3</v>
      </c>
      <c r="D9" s="32" t="n">
        <v>3</v>
      </c>
      <c r="E9" s="32" t="n">
        <v>2</v>
      </c>
      <c r="F9" s="30">
        <f>$B9*C9</f>
        <v/>
      </c>
      <c r="G9" s="30">
        <f>$B9*D9</f>
        <v/>
      </c>
      <c r="H9" s="30">
        <f>$B9*E9</f>
        <v/>
      </c>
      <c r="I9" s="6" t="inlineStr">
        <is>
          <t>Stripe API key, webhook secret, other.</t>
        </is>
      </c>
    </row>
    <row r="10">
      <c r="A10" s="10" t="inlineStr">
        <is>
          <t>Synthetics canary runs (billed, after free runs)</t>
        </is>
      </c>
      <c r="B10" s="33">
        <f>CanaryRunPrice</f>
        <v/>
      </c>
      <c r="C10" s="34">
        <f>MAX(0,(CoreCanaryRunsPerDay+SignupCanaryRunsPerDay)*DaysPerMonth-CanaryFreeRuns)</f>
        <v/>
      </c>
      <c r="D10" s="32" t="n">
        <v>0</v>
      </c>
      <c r="E10" s="32" t="n">
        <v>0</v>
      </c>
      <c r="F10" s="30">
        <f>$B10*C10</f>
        <v/>
      </c>
      <c r="G10" s="30">
        <f>$B10*D10</f>
        <v/>
      </c>
      <c r="H10" s="30">
        <f>$B10*E10</f>
        <v/>
      </c>
      <c r="I10" s="6" t="inlineStr">
        <is>
          <t>Core and sign-up canaries in prod only. The biggest fixed item.</t>
        </is>
      </c>
    </row>
    <row r="11">
      <c r="A11" s="10" t="inlineStr">
        <is>
          <t>Canary side costs (Lambda, S3 artifacts, logs)</t>
        </is>
      </c>
      <c r="B11" s="17" t="n">
        <v>1</v>
      </c>
      <c r="C11" s="32" t="n">
        <v>1</v>
      </c>
      <c r="D11" s="32" t="n">
        <v>0</v>
      </c>
      <c r="E11" s="32" t="n">
        <v>0</v>
      </c>
      <c r="F11" s="30">
        <f>$B11*C11</f>
        <v/>
      </c>
      <c r="G11" s="30">
        <f>$B11*D11</f>
        <v/>
      </c>
      <c r="H11" s="30">
        <f>$B11*E11</f>
        <v/>
      </c>
      <c r="I11" s="6" t="inlineStr">
        <is>
          <t>Estimate.</t>
        </is>
      </c>
    </row>
    <row r="12">
      <c r="A12" s="10" t="inlineStr">
        <is>
          <t>WAF web ACL</t>
        </is>
      </c>
      <c r="B12" s="31">
        <f>WafAclPrice</f>
        <v/>
      </c>
      <c r="C12" s="32" t="n">
        <v>1</v>
      </c>
      <c r="D12" s="32" t="n">
        <v>1</v>
      </c>
      <c r="E12" s="32" t="n">
        <v>0</v>
      </c>
      <c r="F12" s="30">
        <f>$B12*C12</f>
        <v/>
      </c>
      <c r="G12" s="30">
        <f>$B12*D12</f>
        <v/>
      </c>
      <c r="H12" s="30">
        <f>$B12*E12</f>
        <v/>
      </c>
      <c r="I12" s="6" t="inlineStr">
        <is>
          <t>CloudFront WAF. Dev has none.</t>
        </is>
      </c>
    </row>
    <row r="13">
      <c r="A13" s="10" t="inlineStr">
        <is>
          <t>WAF rules and managed rule groups</t>
        </is>
      </c>
      <c r="B13" s="31">
        <f>WafRulePrice</f>
        <v/>
      </c>
      <c r="C13" s="32" t="n">
        <v>4</v>
      </c>
      <c r="D13" s="32" t="n">
        <v>4</v>
      </c>
      <c r="E13" s="32" t="n">
        <v>0</v>
      </c>
      <c r="F13" s="30">
        <f>$B13*C13</f>
        <v/>
      </c>
      <c r="G13" s="30">
        <f>$B13*D13</f>
        <v/>
      </c>
      <c r="H13" s="30">
        <f>$B13*E13</f>
        <v/>
      </c>
      <c r="I13" s="6" t="inlineStr">
        <is>
          <t>Core rule set, known bad inputs, IP reputation, rate limit.</t>
        </is>
      </c>
    </row>
    <row r="14">
      <c r="A14" s="10" t="inlineStr">
        <is>
          <t>WAF requests (millions)</t>
        </is>
      </c>
      <c r="B14" s="31">
        <f>WafReqPrice</f>
        <v/>
      </c>
      <c r="C14" s="32" t="n">
        <v>1</v>
      </c>
      <c r="D14" s="32" t="n">
        <v>0.1</v>
      </c>
      <c r="E14" s="32" t="n">
        <v>0</v>
      </c>
      <c r="F14" s="30">
        <f>$B14*C14</f>
        <v/>
      </c>
      <c r="G14" s="30">
        <f>$B14*D14</f>
        <v/>
      </c>
      <c r="H14" s="30">
        <f>$B14*E14</f>
        <v/>
      </c>
      <c r="I14" s="6" t="inlineStr">
        <is>
          <t>Estimate.</t>
        </is>
      </c>
    </row>
    <row r="15">
      <c r="A15" s="10" t="inlineStr">
        <is>
          <t>CloudWatch alarms beyond 10 free</t>
        </is>
      </c>
      <c r="B15" s="31">
        <f>AlarmPrice</f>
        <v/>
      </c>
      <c r="C15" s="32" t="n">
        <v>20</v>
      </c>
      <c r="D15" s="32" t="n">
        <v>5</v>
      </c>
      <c r="E15" s="32" t="n">
        <v>0</v>
      </c>
      <c r="F15" s="30">
        <f>$B15*C15</f>
        <v/>
      </c>
      <c r="G15" s="30">
        <f>$B15*D15</f>
        <v/>
      </c>
      <c r="H15" s="30">
        <f>$B15*E15</f>
        <v/>
      </c>
      <c r="I15" s="6" t="inlineStr">
        <is>
          <t>About 30 MVP alarms in docs/journeys.md.</t>
        </is>
      </c>
    </row>
    <row r="16">
      <c r="A16" s="10" t="inlineStr">
        <is>
          <t>CloudWatch custom metrics beyond 10 free</t>
        </is>
      </c>
      <c r="B16" s="31">
        <f>MetricPrice</f>
        <v/>
      </c>
      <c r="C16" s="32" t="n">
        <v>5</v>
      </c>
      <c r="D16" s="32" t="n">
        <v>0</v>
      </c>
      <c r="E16" s="32" t="n">
        <v>0</v>
      </c>
      <c r="F16" s="30">
        <f>$B16*C16</f>
        <v/>
      </c>
      <c r="G16" s="30">
        <f>$B16*D16</f>
        <v/>
      </c>
      <c r="H16" s="30">
        <f>$B16*E16</f>
        <v/>
      </c>
      <c r="I16" s="6" t="inlineStr">
        <is>
          <t>Token usage, receipts, business metrics.</t>
        </is>
      </c>
    </row>
    <row r="17">
      <c r="A17" s="10" t="inlineStr">
        <is>
          <t>CloudWatch dashboards beyond 3 free</t>
        </is>
      </c>
      <c r="B17" s="31">
        <f>DashboardPrice</f>
        <v/>
      </c>
      <c r="C17" s="32" t="n">
        <v>0</v>
      </c>
      <c r="D17" s="32" t="n">
        <v>0</v>
      </c>
      <c r="E17" s="32" t="n">
        <v>0</v>
      </c>
      <c r="F17" s="30">
        <f>$B17*C17</f>
        <v/>
      </c>
      <c r="G17" s="30">
        <f>$B17*D17</f>
        <v/>
      </c>
      <c r="H17" s="30">
        <f>$B17*E17</f>
        <v/>
      </c>
      <c r="I17" s="6" t="inlineStr"/>
    </row>
    <row r="18">
      <c r="A18" s="10" t="inlineStr">
        <is>
          <t>AWS Backup and cross-account copy storage</t>
        </is>
      </c>
      <c r="B18" s="17" t="n">
        <v>0.5</v>
      </c>
      <c r="C18" s="32" t="n">
        <v>1</v>
      </c>
      <c r="D18" s="32" t="n">
        <v>0</v>
      </c>
      <c r="E18" s="32" t="n">
        <v>0</v>
      </c>
      <c r="F18" s="30">
        <f>$B18*C18</f>
        <v/>
      </c>
      <c r="G18" s="30">
        <f>$B18*D18</f>
        <v/>
      </c>
      <c r="H18" s="30">
        <f>$B18*E18</f>
        <v/>
      </c>
      <c r="I18" s="6" t="inlineStr">
        <is>
          <t>Estimate; small table.</t>
        </is>
      </c>
    </row>
    <row r="19">
      <c r="A19" s="10" t="inlineStr">
        <is>
          <t>CloudTrail and log archive storage</t>
        </is>
      </c>
      <c r="B19" s="17" t="n">
        <v>1</v>
      </c>
      <c r="C19" s="32" t="n">
        <v>1</v>
      </c>
      <c r="D19" s="32" t="n">
        <v>0.5</v>
      </c>
      <c r="E19" s="32" t="n">
        <v>0.5</v>
      </c>
      <c r="F19" s="30">
        <f>$B19*C19</f>
        <v/>
      </c>
      <c r="G19" s="30">
        <f>$B19*D19</f>
        <v/>
      </c>
      <c r="H19" s="30">
        <f>$B19*E19</f>
        <v/>
      </c>
      <c r="I19" s="6" t="inlineStr">
        <is>
          <t>Estimate.</t>
        </is>
      </c>
    </row>
    <row r="20">
      <c r="A20" s="10" t="inlineStr">
        <is>
          <t>Idle pay-per-use (Lambda, API, DynamoDB, AppSync, S3, CloudFront)</t>
        </is>
      </c>
      <c r="B20" s="17" t="n">
        <v>1</v>
      </c>
      <c r="C20" s="32" t="n">
        <v>1</v>
      </c>
      <c r="D20" s="32" t="n">
        <v>1</v>
      </c>
      <c r="E20" s="32" t="n">
        <v>1</v>
      </c>
      <c r="F20" s="30">
        <f>$B20*C20</f>
        <v/>
      </c>
      <c r="G20" s="30">
        <f>$B20*D20</f>
        <v/>
      </c>
      <c r="H20" s="30">
        <f>$B20*E20</f>
        <v/>
      </c>
      <c r="I20" s="6" t="inlineStr">
        <is>
          <t>Estimate with no customers. CloudFront has a free flat-rate plan.</t>
        </is>
      </c>
    </row>
    <row r="21">
      <c r="A21" s="35" t="inlineStr">
        <is>
          <t>Total per environment</t>
        </is>
      </c>
      <c r="F21" s="36">
        <f>SUM(F5:F20)</f>
        <v/>
      </c>
      <c r="G21" s="36">
        <f>SUM(G5:G20)</f>
        <v/>
      </c>
      <c r="H21" s="36">
        <f>SUM(H5:H20)</f>
        <v/>
      </c>
    </row>
    <row r="23">
      <c r="A23" s="35" t="inlineStr">
        <is>
          <t>All environments, MVP (one region)</t>
        </is>
      </c>
      <c r="F23" s="37">
        <f>FixedAwsProd+FixedAwsStaging+FixedAwsDev</f>
        <v/>
      </c>
    </row>
    <row r="24">
      <c r="A24" s="10" t="inlineStr">
        <is>
          <t>Phase 2 reference: all environments with us-west-2 added</t>
        </is>
      </c>
      <c r="F24" s="30">
        <f>FixedAwsTotal*Phase2Multiplier</f>
        <v/>
      </c>
      <c r="I24" s="6" t="inlineStr">
        <is>
          <t>Not used in the MVP break-even.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60" customWidth="1" min="6" max="6"/>
  </cols>
  <sheetData>
    <row r="1">
      <c r="A1" s="5" t="inlineStr">
        <is>
          <t>Monthly margin per team and per seat</t>
        </is>
      </c>
    </row>
    <row r="2">
      <c r="A2" s="6" t="inlineStr">
        <is>
          <t>Variable costs only (fixed costs are on Break-even). The $0.30 Stripe fee is per team charge, so it is spread over the team's seats.</t>
        </is>
      </c>
    </row>
    <row r="4">
      <c r="A4" s="8" t="inlineStr">
        <is>
          <t>A. Straight $3 per seat, model chosen on Assumptions (ReceiptModel)</t>
        </is>
      </c>
      <c r="B4" s="9" t="n"/>
      <c r="C4" s="9" t="n"/>
      <c r="D4" s="9" t="n"/>
      <c r="E4" s="9" t="n"/>
      <c r="F4" s="9" t="n"/>
    </row>
    <row r="5">
      <c r="A5" s="7" t="inlineStr">
        <is>
          <t>$ per month</t>
        </is>
      </c>
      <c r="B5" s="7" t="inlineStr">
        <is>
          <t>1 seat</t>
        </is>
      </c>
      <c r="C5" s="7" t="inlineStr">
        <is>
          <t>3 seats</t>
        </is>
      </c>
      <c r="D5" s="7" t="inlineStr">
        <is>
          <t>10 seats</t>
        </is>
      </c>
      <c r="E5" s="7" t="inlineStr">
        <is>
          <t>50 seats</t>
        </is>
      </c>
      <c r="F5" s="7" t="inlineStr">
        <is>
          <t>How it's calculated</t>
        </is>
      </c>
    </row>
    <row r="6">
      <c r="A6" s="10" t="inlineStr">
        <is>
          <t>Seats per team</t>
        </is>
      </c>
      <c r="B6" s="13" t="n">
        <v>1</v>
      </c>
      <c r="C6" s="13" t="n">
        <v>3</v>
      </c>
      <c r="D6" s="13" t="n">
        <v>10</v>
      </c>
      <c r="E6" s="13" t="n">
        <v>50</v>
      </c>
      <c r="F6" s="6" t="inlineStr">
        <is>
          <t>Team size (users).</t>
        </is>
      </c>
    </row>
    <row r="7">
      <c r="A7" s="10" t="inlineStr">
        <is>
          <t>Billed seats</t>
        </is>
      </c>
      <c r="B7" s="34">
        <f>MAX(B6,0)</f>
        <v/>
      </c>
      <c r="C7" s="34">
        <f>MAX(C6,0)</f>
        <v/>
      </c>
      <c r="D7" s="34">
        <f>MAX(D6,0)</f>
        <v/>
      </c>
      <c r="E7" s="34">
        <f>MAX(E6,0)</f>
        <v/>
      </c>
      <c r="F7" s="6" t="inlineStr">
        <is>
          <t>Seats, or the plan minimum if higher.</t>
        </is>
      </c>
    </row>
    <row r="8">
      <c r="A8" s="10" t="inlineStr">
        <is>
          <t>Revenue per team</t>
        </is>
      </c>
      <c r="B8" s="30">
        <f>B7*PricePerSeat</f>
        <v/>
      </c>
      <c r="C8" s="30">
        <f>C7*PricePerSeat</f>
        <v/>
      </c>
      <c r="D8" s="30">
        <f>D7*PricePerSeat</f>
        <v/>
      </c>
      <c r="E8" s="30">
        <f>E7*PricePerSeat</f>
        <v/>
      </c>
      <c r="F8" s="6" t="inlineStr">
        <is>
          <t>Billed seats x price.</t>
        </is>
      </c>
    </row>
    <row r="9">
      <c r="A9" s="10" t="inlineStr">
        <is>
          <t>Stripe percentage fees</t>
        </is>
      </c>
      <c r="B9" s="30">
        <f>B8*StripeVarPct</f>
        <v/>
      </c>
      <c r="C9" s="30">
        <f>C8*StripeVarPct</f>
        <v/>
      </c>
      <c r="D9" s="30">
        <f>D8*StripeVarPct</f>
        <v/>
      </c>
      <c r="E9" s="30">
        <f>E8*StripeVarPct</f>
        <v/>
      </c>
      <c r="F9" s="6" t="inlineStr">
        <is>
          <t>Card 2.9% + Billing 0.7% (+ Tax, international if on).</t>
        </is>
      </c>
    </row>
    <row r="10">
      <c r="A10" s="10" t="inlineStr">
        <is>
          <t>Stripe fixed fee</t>
        </is>
      </c>
      <c r="B10" s="30">
        <f>IF(B8&gt;0,StripeFixed,0)</f>
        <v/>
      </c>
      <c r="C10" s="30">
        <f>IF(C8&gt;0,StripeFixed,0)</f>
        <v/>
      </c>
      <c r="D10" s="30">
        <f>IF(D8&gt;0,StripeFixed,0)</f>
        <v/>
      </c>
      <c r="E10" s="30">
        <f>IF(E8&gt;0,StripeFixed,0)</f>
        <v/>
      </c>
      <c r="F10" s="6" t="inlineStr">
        <is>
          <t>$0.30 per monthly charge.</t>
        </is>
      </c>
    </row>
    <row r="11">
      <c r="A11" s="10" t="inlineStr">
        <is>
          <t>Receipts read per team</t>
        </is>
      </c>
      <c r="B11" s="34">
        <f>MIN(B6*ReceiptsPerSeat,ReceiptCapPerTeam)</f>
        <v/>
      </c>
      <c r="C11" s="34">
        <f>MIN(C6*ReceiptsPerSeat,ReceiptCapPerTeam)</f>
        <v/>
      </c>
      <c r="D11" s="34">
        <f>MIN(D6*ReceiptsPerSeat,ReceiptCapPerTeam)</f>
        <v/>
      </c>
      <c r="E11" s="34">
        <f>MIN(E6*ReceiptsPerSeat,ReceiptCapPerTeam)</f>
        <v/>
      </c>
      <c r="F11" s="6" t="inlineStr">
        <is>
          <t>Seats x receipts per seat, capped per team.</t>
        </is>
      </c>
    </row>
    <row r="12">
      <c r="A12" s="10" t="inlineStr">
        <is>
          <t>Bedrock receipt cost</t>
        </is>
      </c>
      <c r="B12" s="30">
        <f>B11*CostPerReceipt</f>
        <v/>
      </c>
      <c r="C12" s="30">
        <f>C11*CostPerReceipt</f>
        <v/>
      </c>
      <c r="D12" s="30">
        <f>D11*CostPerReceipt</f>
        <v/>
      </c>
      <c r="E12" s="30">
        <f>E11*CostPerReceipt</f>
        <v/>
      </c>
      <c r="F12" s="6" t="inlineStr">
        <is>
          <t>Receipts x cost per receipt.</t>
        </is>
      </c>
    </row>
    <row r="13">
      <c r="A13" s="10" t="inlineStr">
        <is>
          <t>AWS pay-per-use</t>
        </is>
      </c>
      <c r="B13" s="30">
        <f>B6*AwsPerSeat</f>
        <v/>
      </c>
      <c r="C13" s="30">
        <f>C6*AwsPerSeat</f>
        <v/>
      </c>
      <c r="D13" s="30">
        <f>D6*AwsPerSeat</f>
        <v/>
      </c>
      <c r="E13" s="30">
        <f>E6*AwsPerSeat</f>
        <v/>
      </c>
      <c r="F13" s="6" t="inlineStr">
        <is>
          <t>Seats x AWS per seat (Assumptions).</t>
        </is>
      </c>
    </row>
    <row r="14">
      <c r="A14" s="10" t="inlineStr">
        <is>
          <t>Total variable cost per team</t>
        </is>
      </c>
      <c r="B14" s="30">
        <f>B9+B10+B12+B13</f>
        <v/>
      </c>
      <c r="C14" s="30">
        <f>C9+C10+C12+C13</f>
        <v/>
      </c>
      <c r="D14" s="30">
        <f>D9+D10+D12+D13</f>
        <v/>
      </c>
      <c r="E14" s="30">
        <f>E9+E10+E12+E13</f>
        <v/>
      </c>
      <c r="F14" s="6" t="inlineStr">
        <is>
          <t>Stripe + Bedrock + AWS.</t>
        </is>
      </c>
    </row>
    <row r="15">
      <c r="A15" s="35" t="inlineStr">
        <is>
          <t>Margin per team</t>
        </is>
      </c>
      <c r="B15" s="38">
        <f>B8-B14</f>
        <v/>
      </c>
      <c r="C15" s="38">
        <f>C8-C14</f>
        <v/>
      </c>
      <c r="D15" s="38">
        <f>D8-D14</f>
        <v/>
      </c>
      <c r="E15" s="38">
        <f>E8-E14</f>
        <v/>
      </c>
      <c r="F15" s="6" t="inlineStr">
        <is>
          <t>Revenue - variable cost.</t>
        </is>
      </c>
    </row>
    <row r="16">
      <c r="A16" s="10" t="inlineStr">
        <is>
          <t>Margin %</t>
        </is>
      </c>
      <c r="B16" s="29">
        <f>IF(B8=0,0,B15/B8)</f>
        <v/>
      </c>
      <c r="C16" s="29">
        <f>IF(C8=0,0,C15/C8)</f>
        <v/>
      </c>
      <c r="D16" s="29">
        <f>IF(D8=0,0,D15/D8)</f>
        <v/>
      </c>
      <c r="E16" s="29">
        <f>IF(E8=0,0,E15/E8)</f>
        <v/>
      </c>
      <c r="F16" s="6" t="inlineStr"/>
    </row>
    <row r="17">
      <c r="A17" s="10" t="inlineStr">
        <is>
          <t>Stripe share of revenue</t>
        </is>
      </c>
      <c r="B17" s="29">
        <f>IF(B8=0,0,(B9+B10)/B8)</f>
        <v/>
      </c>
      <c r="C17" s="29">
        <f>IF(C8=0,0,(C9+C10)/C8)</f>
        <v/>
      </c>
      <c r="D17" s="29">
        <f>IF(D8=0,0,(D9+D10)/D8)</f>
        <v/>
      </c>
      <c r="E17" s="29">
        <f>IF(E8=0,0,(E9+E10)/E8)</f>
        <v/>
      </c>
      <c r="F17" s="6" t="inlineStr">
        <is>
          <t>Target is under 10% (bead supply-checkout-akz).</t>
        </is>
      </c>
    </row>
    <row r="18">
      <c r="A18" s="10" t="inlineStr">
        <is>
          <t>Stripe fixed fee per seat</t>
        </is>
      </c>
      <c r="B18" s="28">
        <f>B10/B6</f>
        <v/>
      </c>
      <c r="C18" s="28">
        <f>C10/C6</f>
        <v/>
      </c>
      <c r="D18" s="28">
        <f>D10/D6</f>
        <v/>
      </c>
      <c r="E18" s="28">
        <f>E10/E6</f>
        <v/>
      </c>
      <c r="F18" s="6" t="inlineStr">
        <is>
          <t>$0.30 spread over the team's seats.</t>
        </is>
      </c>
    </row>
    <row r="19">
      <c r="A19" s="10" t="inlineStr">
        <is>
          <t>Revenue per seat</t>
        </is>
      </c>
      <c r="B19" s="30">
        <f>B8/B6</f>
        <v/>
      </c>
      <c r="C19" s="30">
        <f>C8/C6</f>
        <v/>
      </c>
      <c r="D19" s="30">
        <f>D8/D6</f>
        <v/>
      </c>
      <c r="E19" s="30">
        <f>E8/E6</f>
        <v/>
      </c>
      <c r="F19" s="6" t="inlineStr"/>
    </row>
    <row r="20">
      <c r="A20" s="10" t="inlineStr">
        <is>
          <t>Variable cost per seat</t>
        </is>
      </c>
      <c r="B20" s="28">
        <f>B14/B6</f>
        <v/>
      </c>
      <c r="C20" s="28">
        <f>C14/C6</f>
        <v/>
      </c>
      <c r="D20" s="28">
        <f>D14/D6</f>
        <v/>
      </c>
      <c r="E20" s="28">
        <f>E14/E6</f>
        <v/>
      </c>
      <c r="F20" s="6" t="inlineStr"/>
    </row>
    <row r="21">
      <c r="A21" s="35" t="inlineStr">
        <is>
          <t>Margin per seat</t>
        </is>
      </c>
      <c r="B21" s="37">
        <f>B15/B6</f>
        <v/>
      </c>
      <c r="C21" s="37">
        <f>C15/C6</f>
        <v/>
      </c>
      <c r="D21" s="37">
        <f>D15/D6</f>
        <v/>
      </c>
      <c r="E21" s="37">
        <f>E15/E6</f>
        <v/>
      </c>
      <c r="F21" s="6" t="inlineStr">
        <is>
          <t>Per user on the team.</t>
        </is>
      </c>
    </row>
    <row r="23">
      <c r="A23" s="8" t="inlineStr">
        <is>
          <t>B. Starter minimum ($9 covers 3 seats, ADR 0009), same model</t>
        </is>
      </c>
      <c r="B23" s="9" t="n"/>
      <c r="C23" s="9" t="n"/>
      <c r="D23" s="9" t="n"/>
      <c r="E23" s="9" t="n"/>
      <c r="F23" s="9" t="n"/>
    </row>
    <row r="24">
      <c r="A24" s="7" t="inlineStr">
        <is>
          <t>$ per month</t>
        </is>
      </c>
      <c r="B24" s="7" t="inlineStr">
        <is>
          <t>1 seat</t>
        </is>
      </c>
      <c r="C24" s="7" t="inlineStr">
        <is>
          <t>3 seats</t>
        </is>
      </c>
      <c r="D24" s="7" t="inlineStr">
        <is>
          <t>10 seats</t>
        </is>
      </c>
      <c r="E24" s="7" t="inlineStr">
        <is>
          <t>50 seats</t>
        </is>
      </c>
      <c r="F24" s="7" t="inlineStr">
        <is>
          <t>How it's calculated</t>
        </is>
      </c>
    </row>
    <row r="25">
      <c r="A25" s="10" t="inlineStr">
        <is>
          <t>Seats per team</t>
        </is>
      </c>
      <c r="B25" s="13" t="n">
        <v>1</v>
      </c>
      <c r="C25" s="13" t="n">
        <v>3</v>
      </c>
      <c r="D25" s="13" t="n">
        <v>10</v>
      </c>
      <c r="E25" s="13" t="n">
        <v>50</v>
      </c>
      <c r="F25" s="6" t="inlineStr">
        <is>
          <t>Team size (users).</t>
        </is>
      </c>
    </row>
    <row r="26">
      <c r="A26" s="10" t="inlineStr">
        <is>
          <t>Billed seats</t>
        </is>
      </c>
      <c r="B26" s="34">
        <f>MAX(B25,StarterMinSeats)</f>
        <v/>
      </c>
      <c r="C26" s="34">
        <f>MAX(C25,StarterMinSeats)</f>
        <v/>
      </c>
      <c r="D26" s="34">
        <f>MAX(D25,StarterMinSeats)</f>
        <v/>
      </c>
      <c r="E26" s="34">
        <f>MAX(E25,StarterMinSeats)</f>
        <v/>
      </c>
      <c r="F26" s="6" t="inlineStr">
        <is>
          <t>Seats, or the plan minimum if higher.</t>
        </is>
      </c>
    </row>
    <row r="27">
      <c r="A27" s="10" t="inlineStr">
        <is>
          <t>Revenue per team</t>
        </is>
      </c>
      <c r="B27" s="30">
        <f>B26*PricePerSeat</f>
        <v/>
      </c>
      <c r="C27" s="30">
        <f>C26*PricePerSeat</f>
        <v/>
      </c>
      <c r="D27" s="30">
        <f>D26*PricePerSeat</f>
        <v/>
      </c>
      <c r="E27" s="30">
        <f>E26*PricePerSeat</f>
        <v/>
      </c>
      <c r="F27" s="6" t="inlineStr">
        <is>
          <t>Billed seats x price.</t>
        </is>
      </c>
    </row>
    <row r="28">
      <c r="A28" s="10" t="inlineStr">
        <is>
          <t>Stripe percentage fees</t>
        </is>
      </c>
      <c r="B28" s="30">
        <f>B27*StripeVarPct</f>
        <v/>
      </c>
      <c r="C28" s="30">
        <f>C27*StripeVarPct</f>
        <v/>
      </c>
      <c r="D28" s="30">
        <f>D27*StripeVarPct</f>
        <v/>
      </c>
      <c r="E28" s="30">
        <f>E27*StripeVarPct</f>
        <v/>
      </c>
      <c r="F28" s="6" t="inlineStr">
        <is>
          <t>Card 2.9% + Billing 0.7% (+ Tax, international if on).</t>
        </is>
      </c>
    </row>
    <row r="29">
      <c r="A29" s="10" t="inlineStr">
        <is>
          <t>Stripe fixed fee</t>
        </is>
      </c>
      <c r="B29" s="30">
        <f>IF(B27&gt;0,StripeFixed,0)</f>
        <v/>
      </c>
      <c r="C29" s="30">
        <f>IF(C27&gt;0,StripeFixed,0)</f>
        <v/>
      </c>
      <c r="D29" s="30">
        <f>IF(D27&gt;0,StripeFixed,0)</f>
        <v/>
      </c>
      <c r="E29" s="30">
        <f>IF(E27&gt;0,StripeFixed,0)</f>
        <v/>
      </c>
      <c r="F29" s="6" t="inlineStr">
        <is>
          <t>$0.30 per monthly charge.</t>
        </is>
      </c>
    </row>
    <row r="30">
      <c r="A30" s="10" t="inlineStr">
        <is>
          <t>Receipts read per team</t>
        </is>
      </c>
      <c r="B30" s="34">
        <f>MIN(B25*ReceiptsPerSeat,ReceiptCapPerTeam)</f>
        <v/>
      </c>
      <c r="C30" s="34">
        <f>MIN(C25*ReceiptsPerSeat,ReceiptCapPerTeam)</f>
        <v/>
      </c>
      <c r="D30" s="34">
        <f>MIN(D25*ReceiptsPerSeat,ReceiptCapPerTeam)</f>
        <v/>
      </c>
      <c r="E30" s="34">
        <f>MIN(E25*ReceiptsPerSeat,ReceiptCapPerTeam)</f>
        <v/>
      </c>
      <c r="F30" s="6" t="inlineStr">
        <is>
          <t>Seats x receipts per seat, capped per team.</t>
        </is>
      </c>
    </row>
    <row r="31">
      <c r="A31" s="10" t="inlineStr">
        <is>
          <t>Bedrock receipt cost</t>
        </is>
      </c>
      <c r="B31" s="30">
        <f>B30*CostPerReceipt</f>
        <v/>
      </c>
      <c r="C31" s="30">
        <f>C30*CostPerReceipt</f>
        <v/>
      </c>
      <c r="D31" s="30">
        <f>D30*CostPerReceipt</f>
        <v/>
      </c>
      <c r="E31" s="30">
        <f>E30*CostPerReceipt</f>
        <v/>
      </c>
      <c r="F31" s="6" t="inlineStr">
        <is>
          <t>Receipts x cost per receipt.</t>
        </is>
      </c>
    </row>
    <row r="32">
      <c r="A32" s="10" t="inlineStr">
        <is>
          <t>AWS pay-per-use</t>
        </is>
      </c>
      <c r="B32" s="30">
        <f>B25*AwsPerSeat</f>
        <v/>
      </c>
      <c r="C32" s="30">
        <f>C25*AwsPerSeat</f>
        <v/>
      </c>
      <c r="D32" s="30">
        <f>D25*AwsPerSeat</f>
        <v/>
      </c>
      <c r="E32" s="30">
        <f>E25*AwsPerSeat</f>
        <v/>
      </c>
      <c r="F32" s="6" t="inlineStr">
        <is>
          <t>Seats x AWS per seat (Assumptions).</t>
        </is>
      </c>
    </row>
    <row r="33">
      <c r="A33" s="10" t="inlineStr">
        <is>
          <t>Total variable cost per team</t>
        </is>
      </c>
      <c r="B33" s="30">
        <f>B28+B29+B31+B32</f>
        <v/>
      </c>
      <c r="C33" s="30">
        <f>C28+C29+C31+C32</f>
        <v/>
      </c>
      <c r="D33" s="30">
        <f>D28+D29+D31+D32</f>
        <v/>
      </c>
      <c r="E33" s="30">
        <f>E28+E29+E31+E32</f>
        <v/>
      </c>
      <c r="F33" s="6" t="inlineStr">
        <is>
          <t>Stripe + Bedrock + AWS.</t>
        </is>
      </c>
    </row>
    <row r="34">
      <c r="A34" s="35" t="inlineStr">
        <is>
          <t>Margin per team</t>
        </is>
      </c>
      <c r="B34" s="38">
        <f>B27-B33</f>
        <v/>
      </c>
      <c r="C34" s="38">
        <f>C27-C33</f>
        <v/>
      </c>
      <c r="D34" s="38">
        <f>D27-D33</f>
        <v/>
      </c>
      <c r="E34" s="38">
        <f>E27-E33</f>
        <v/>
      </c>
      <c r="F34" s="6" t="inlineStr">
        <is>
          <t>Revenue - variable cost.</t>
        </is>
      </c>
    </row>
    <row r="35">
      <c r="A35" s="10" t="inlineStr">
        <is>
          <t>Margin %</t>
        </is>
      </c>
      <c r="B35" s="29">
        <f>IF(B27=0,0,B34/B27)</f>
        <v/>
      </c>
      <c r="C35" s="29">
        <f>IF(C27=0,0,C34/C27)</f>
        <v/>
      </c>
      <c r="D35" s="29">
        <f>IF(D27=0,0,D34/D27)</f>
        <v/>
      </c>
      <c r="E35" s="29">
        <f>IF(E27=0,0,E34/E27)</f>
        <v/>
      </c>
      <c r="F35" s="6" t="inlineStr"/>
    </row>
    <row r="36">
      <c r="A36" s="10" t="inlineStr">
        <is>
          <t>Stripe share of revenue</t>
        </is>
      </c>
      <c r="B36" s="29">
        <f>IF(B27=0,0,(B28+B29)/B27)</f>
        <v/>
      </c>
      <c r="C36" s="29">
        <f>IF(C27=0,0,(C28+C29)/C27)</f>
        <v/>
      </c>
      <c r="D36" s="29">
        <f>IF(D27=0,0,(D28+D29)/D27)</f>
        <v/>
      </c>
      <c r="E36" s="29">
        <f>IF(E27=0,0,(E28+E29)/E27)</f>
        <v/>
      </c>
      <c r="F36" s="6" t="inlineStr">
        <is>
          <t>Target is under 10% (bead supply-checkout-akz).</t>
        </is>
      </c>
    </row>
    <row r="37">
      <c r="A37" s="10" t="inlineStr">
        <is>
          <t>Stripe fixed fee per seat</t>
        </is>
      </c>
      <c r="B37" s="28">
        <f>B29/B25</f>
        <v/>
      </c>
      <c r="C37" s="28">
        <f>C29/C25</f>
        <v/>
      </c>
      <c r="D37" s="28">
        <f>D29/D25</f>
        <v/>
      </c>
      <c r="E37" s="28">
        <f>E29/E25</f>
        <v/>
      </c>
      <c r="F37" s="6" t="inlineStr">
        <is>
          <t>$0.30 spread over the team's seats.</t>
        </is>
      </c>
    </row>
    <row r="38">
      <c r="A38" s="10" t="inlineStr">
        <is>
          <t>Revenue per seat</t>
        </is>
      </c>
      <c r="B38" s="30">
        <f>B27/B25</f>
        <v/>
      </c>
      <c r="C38" s="30">
        <f>C27/C25</f>
        <v/>
      </c>
      <c r="D38" s="30">
        <f>D27/D25</f>
        <v/>
      </c>
      <c r="E38" s="30">
        <f>E27/E25</f>
        <v/>
      </c>
      <c r="F38" s="6" t="inlineStr"/>
    </row>
    <row r="39">
      <c r="A39" s="10" t="inlineStr">
        <is>
          <t>Variable cost per seat</t>
        </is>
      </c>
      <c r="B39" s="28">
        <f>B33/B25</f>
        <v/>
      </c>
      <c r="C39" s="28">
        <f>C33/C25</f>
        <v/>
      </c>
      <c r="D39" s="28">
        <f>D33/D25</f>
        <v/>
      </c>
      <c r="E39" s="28">
        <f>E33/E25</f>
        <v/>
      </c>
      <c r="F39" s="6" t="inlineStr"/>
    </row>
    <row r="40">
      <c r="A40" s="35" t="inlineStr">
        <is>
          <t>Margin per seat</t>
        </is>
      </c>
      <c r="B40" s="38">
        <f>B34/B25</f>
        <v/>
      </c>
      <c r="C40" s="38">
        <f>C34/C25</f>
        <v/>
      </c>
      <c r="D40" s="38">
        <f>D34/D25</f>
        <v/>
      </c>
      <c r="E40" s="38">
        <f>E34/E25</f>
        <v/>
      </c>
      <c r="F40" s="6" t="inlineStr">
        <is>
          <t>Per user on the team.</t>
        </is>
      </c>
    </row>
    <row r="42">
      <c r="A42" s="8" t="inlineStr">
        <is>
          <t>C. Worst case: straight $3, Sonnet 5, every team reads its full receipt cap</t>
        </is>
      </c>
      <c r="B42" s="9" t="n"/>
      <c r="C42" s="9" t="n"/>
      <c r="D42" s="9" t="n"/>
      <c r="E42" s="9" t="n"/>
      <c r="F42" s="9" t="n"/>
    </row>
    <row r="43">
      <c r="A43" s="7" t="inlineStr">
        <is>
          <t>$ per month</t>
        </is>
      </c>
      <c r="B43" s="7" t="inlineStr">
        <is>
          <t>1 seat</t>
        </is>
      </c>
      <c r="C43" s="7" t="inlineStr">
        <is>
          <t>3 seats</t>
        </is>
      </c>
      <c r="D43" s="7" t="inlineStr">
        <is>
          <t>10 seats</t>
        </is>
      </c>
      <c r="E43" s="7" t="inlineStr">
        <is>
          <t>50 seats</t>
        </is>
      </c>
      <c r="F43" s="7" t="inlineStr">
        <is>
          <t>How it's calculated</t>
        </is>
      </c>
    </row>
    <row r="44">
      <c r="A44" s="10" t="inlineStr">
        <is>
          <t>Seats per team</t>
        </is>
      </c>
      <c r="B44" s="13" t="n">
        <v>1</v>
      </c>
      <c r="C44" s="13" t="n">
        <v>3</v>
      </c>
      <c r="D44" s="13" t="n">
        <v>10</v>
      </c>
      <c r="E44" s="13" t="n">
        <v>50</v>
      </c>
      <c r="F44" s="6" t="inlineStr">
        <is>
          <t>Team size (users).</t>
        </is>
      </c>
    </row>
    <row r="45">
      <c r="A45" s="10" t="inlineStr">
        <is>
          <t>Billed seats</t>
        </is>
      </c>
      <c r="B45" s="34">
        <f>MAX(B44,0)</f>
        <v/>
      </c>
      <c r="C45" s="34">
        <f>MAX(C44,0)</f>
        <v/>
      </c>
      <c r="D45" s="34">
        <f>MAX(D44,0)</f>
        <v/>
      </c>
      <c r="E45" s="34">
        <f>MAX(E44,0)</f>
        <v/>
      </c>
      <c r="F45" s="6" t="inlineStr">
        <is>
          <t>Seats, or the plan minimum if higher.</t>
        </is>
      </c>
    </row>
    <row r="46">
      <c r="A46" s="10" t="inlineStr">
        <is>
          <t>Revenue per team</t>
        </is>
      </c>
      <c r="B46" s="30">
        <f>B45*PricePerSeat</f>
        <v/>
      </c>
      <c r="C46" s="30">
        <f>C45*PricePerSeat</f>
        <v/>
      </c>
      <c r="D46" s="30">
        <f>D45*PricePerSeat</f>
        <v/>
      </c>
      <c r="E46" s="30">
        <f>E45*PricePerSeat</f>
        <v/>
      </c>
      <c r="F46" s="6" t="inlineStr">
        <is>
          <t>Billed seats x price.</t>
        </is>
      </c>
    </row>
    <row r="47">
      <c r="A47" s="10" t="inlineStr">
        <is>
          <t>Stripe percentage fees</t>
        </is>
      </c>
      <c r="B47" s="30">
        <f>B46*StripeVarPct</f>
        <v/>
      </c>
      <c r="C47" s="30">
        <f>C46*StripeVarPct</f>
        <v/>
      </c>
      <c r="D47" s="30">
        <f>D46*StripeVarPct</f>
        <v/>
      </c>
      <c r="E47" s="30">
        <f>E46*StripeVarPct</f>
        <v/>
      </c>
      <c r="F47" s="6" t="inlineStr">
        <is>
          <t>Card 2.9% + Billing 0.7% (+ Tax, international if on).</t>
        </is>
      </c>
    </row>
    <row r="48">
      <c r="A48" s="10" t="inlineStr">
        <is>
          <t>Stripe fixed fee</t>
        </is>
      </c>
      <c r="B48" s="30">
        <f>IF(B46&gt;0,StripeFixed,0)</f>
        <v/>
      </c>
      <c r="C48" s="30">
        <f>IF(C46&gt;0,StripeFixed,0)</f>
        <v/>
      </c>
      <c r="D48" s="30">
        <f>IF(D46&gt;0,StripeFixed,0)</f>
        <v/>
      </c>
      <c r="E48" s="30">
        <f>IF(E46&gt;0,StripeFixed,0)</f>
        <v/>
      </c>
      <c r="F48" s="6" t="inlineStr">
        <is>
          <t>$0.30 per monthly charge.</t>
        </is>
      </c>
    </row>
    <row r="49">
      <c r="A49" s="10" t="inlineStr">
        <is>
          <t>Receipts read per team</t>
        </is>
      </c>
      <c r="B49" s="34">
        <f>ReceiptCapPerTeam</f>
        <v/>
      </c>
      <c r="C49" s="34">
        <f>ReceiptCapPerTeam</f>
        <v/>
      </c>
      <c r="D49" s="34">
        <f>ReceiptCapPerTeam</f>
        <v/>
      </c>
      <c r="E49" s="34">
        <f>ReceiptCapPerTeam</f>
        <v/>
      </c>
      <c r="F49" s="6" t="inlineStr">
        <is>
          <t>Seats x receipts per seat, capped per team.</t>
        </is>
      </c>
    </row>
    <row r="50">
      <c r="A50" s="10" t="inlineStr">
        <is>
          <t>Bedrock receipt cost</t>
        </is>
      </c>
      <c r="B50" s="30">
        <f>B49*SonnetPerReceipt</f>
        <v/>
      </c>
      <c r="C50" s="30">
        <f>C49*SonnetPerReceipt</f>
        <v/>
      </c>
      <c r="D50" s="30">
        <f>D49*SonnetPerReceipt</f>
        <v/>
      </c>
      <c r="E50" s="30">
        <f>E49*SonnetPerReceipt</f>
        <v/>
      </c>
      <c r="F50" s="6" t="inlineStr">
        <is>
          <t>Receipts x cost per receipt.</t>
        </is>
      </c>
    </row>
    <row r="51">
      <c r="A51" s="10" t="inlineStr">
        <is>
          <t>AWS pay-per-use</t>
        </is>
      </c>
      <c r="B51" s="30">
        <f>B44*AwsPerSeat</f>
        <v/>
      </c>
      <c r="C51" s="30">
        <f>C44*AwsPerSeat</f>
        <v/>
      </c>
      <c r="D51" s="30">
        <f>D44*AwsPerSeat</f>
        <v/>
      </c>
      <c r="E51" s="30">
        <f>E44*AwsPerSeat</f>
        <v/>
      </c>
      <c r="F51" s="6" t="inlineStr">
        <is>
          <t>Seats x AWS per seat (Assumptions).</t>
        </is>
      </c>
    </row>
    <row r="52">
      <c r="A52" s="10" t="inlineStr">
        <is>
          <t>Total variable cost per team</t>
        </is>
      </c>
      <c r="B52" s="30">
        <f>B47+B48+B50+B51</f>
        <v/>
      </c>
      <c r="C52" s="30">
        <f>C47+C48+C50+C51</f>
        <v/>
      </c>
      <c r="D52" s="30">
        <f>D47+D48+D50+D51</f>
        <v/>
      </c>
      <c r="E52" s="30">
        <f>E47+E48+E50+E51</f>
        <v/>
      </c>
      <c r="F52" s="6" t="inlineStr">
        <is>
          <t>Stripe + Bedrock + AWS.</t>
        </is>
      </c>
    </row>
    <row r="53">
      <c r="A53" s="35" t="inlineStr">
        <is>
          <t>Margin per team</t>
        </is>
      </c>
      <c r="B53" s="38">
        <f>B46-B52</f>
        <v/>
      </c>
      <c r="C53" s="38">
        <f>C46-C52</f>
        <v/>
      </c>
      <c r="D53" s="38">
        <f>D46-D52</f>
        <v/>
      </c>
      <c r="E53" s="38">
        <f>E46-E52</f>
        <v/>
      </c>
      <c r="F53" s="6" t="inlineStr">
        <is>
          <t>Revenue - variable cost.</t>
        </is>
      </c>
    </row>
    <row r="54">
      <c r="A54" s="10" t="inlineStr">
        <is>
          <t>Margin %</t>
        </is>
      </c>
      <c r="B54" s="29">
        <f>IF(B46=0,0,B53/B46)</f>
        <v/>
      </c>
      <c r="C54" s="29">
        <f>IF(C46=0,0,C53/C46)</f>
        <v/>
      </c>
      <c r="D54" s="29">
        <f>IF(D46=0,0,D53/D46)</f>
        <v/>
      </c>
      <c r="E54" s="29">
        <f>IF(E46=0,0,E53/E46)</f>
        <v/>
      </c>
      <c r="F54" s="6" t="inlineStr"/>
    </row>
    <row r="55">
      <c r="A55" s="10" t="inlineStr">
        <is>
          <t>Stripe share of revenue</t>
        </is>
      </c>
      <c r="B55" s="29">
        <f>IF(B46=0,0,(B47+B48)/B46)</f>
        <v/>
      </c>
      <c r="C55" s="29">
        <f>IF(C46=0,0,(C47+C48)/C46)</f>
        <v/>
      </c>
      <c r="D55" s="29">
        <f>IF(D46=0,0,(D47+D48)/D46)</f>
        <v/>
      </c>
      <c r="E55" s="29">
        <f>IF(E46=0,0,(E47+E48)/E46)</f>
        <v/>
      </c>
      <c r="F55" s="6" t="inlineStr">
        <is>
          <t>Target is under 10% (bead supply-checkout-akz).</t>
        </is>
      </c>
    </row>
    <row r="56">
      <c r="A56" s="10" t="inlineStr">
        <is>
          <t>Stripe fixed fee per seat</t>
        </is>
      </c>
      <c r="B56" s="28">
        <f>B48/B44</f>
        <v/>
      </c>
      <c r="C56" s="28">
        <f>C48/C44</f>
        <v/>
      </c>
      <c r="D56" s="28">
        <f>D48/D44</f>
        <v/>
      </c>
      <c r="E56" s="28">
        <f>E48/E44</f>
        <v/>
      </c>
      <c r="F56" s="6" t="inlineStr">
        <is>
          <t>$0.30 spread over the team's seats.</t>
        </is>
      </c>
    </row>
    <row r="57">
      <c r="A57" s="10" t="inlineStr">
        <is>
          <t>Revenue per seat</t>
        </is>
      </c>
      <c r="B57" s="30">
        <f>B46/B44</f>
        <v/>
      </c>
      <c r="C57" s="30">
        <f>C46/C44</f>
        <v/>
      </c>
      <c r="D57" s="30">
        <f>D46/D44</f>
        <v/>
      </c>
      <c r="E57" s="30">
        <f>E46/E44</f>
        <v/>
      </c>
      <c r="F57" s="6" t="inlineStr"/>
    </row>
    <row r="58">
      <c r="A58" s="10" t="inlineStr">
        <is>
          <t>Variable cost per seat</t>
        </is>
      </c>
      <c r="B58" s="28">
        <f>B52/B44</f>
        <v/>
      </c>
      <c r="C58" s="28">
        <f>C52/C44</f>
        <v/>
      </c>
      <c r="D58" s="28">
        <f>D52/D44</f>
        <v/>
      </c>
      <c r="E58" s="28">
        <f>E52/E44</f>
        <v/>
      </c>
      <c r="F58" s="6" t="inlineStr"/>
    </row>
    <row r="59">
      <c r="A59" s="35" t="inlineStr">
        <is>
          <t>Margin per seat</t>
        </is>
      </c>
      <c r="B59" s="38">
        <f>B53/B44</f>
        <v/>
      </c>
      <c r="C59" s="38">
        <f>C53/C44</f>
        <v/>
      </c>
      <c r="D59" s="38">
        <f>D53/D44</f>
        <v/>
      </c>
      <c r="E59" s="38">
        <f>E53/E44</f>
        <v/>
      </c>
      <c r="F59" s="6" t="inlineStr">
        <is>
          <t>Per user on the team.</t>
        </is>
      </c>
    </row>
    <row r="61">
      <c r="A61" s="35" t="inlineStr">
        <is>
          <t>Per-receipt cost</t>
        </is>
      </c>
    </row>
    <row r="62">
      <c r="A62" s="10" t="inlineStr">
        <is>
          <t>Claude Haiku 4.5 ($/receipt)</t>
        </is>
      </c>
      <c r="B62" s="33">
        <f>HaikuPerReceipt</f>
        <v/>
      </c>
    </row>
    <row r="63">
      <c r="A63" s="10" t="inlineStr">
        <is>
          <t>Claude Sonnet 5 ($/receipt)</t>
        </is>
      </c>
      <c r="B63" s="33">
        <f>SonnetPerReceipt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50" customWidth="1" min="7" max="7"/>
  </cols>
  <sheetData>
    <row r="1">
      <c r="A1" s="5" t="inlineStr">
        <is>
          <t>Break-even in paying seats</t>
        </is>
      </c>
    </row>
    <row r="2">
      <c r="A2" s="6" t="inlineStr">
        <is>
          <t>Uses PricingMode, ReceiptModel and AvgSeatsPerTeam from Assumptions. Neither figure pays for the owner's time.</t>
        </is>
      </c>
    </row>
    <row r="4">
      <c r="A4" s="8" t="inlineStr">
        <is>
          <t>Fixed costs per month</t>
        </is>
      </c>
      <c r="B4" s="9" t="n"/>
      <c r="C4" s="9" t="n"/>
      <c r="D4" s="9" t="n"/>
      <c r="E4" s="9" t="n"/>
      <c r="F4" s="9" t="n"/>
      <c r="G4" s="9" t="n"/>
    </row>
    <row r="5">
      <c r="A5" s="10" t="inlineStr">
        <is>
          <t>AWS, prod</t>
        </is>
      </c>
      <c r="B5" s="31">
        <f>FixedAwsProd</f>
        <v/>
      </c>
    </row>
    <row r="6">
      <c r="A6" s="10" t="inlineStr">
        <is>
          <t>AWS, staging</t>
        </is>
      </c>
      <c r="B6" s="31">
        <f>FixedAwsStaging</f>
        <v/>
      </c>
    </row>
    <row r="7">
      <c r="A7" s="10" t="inlineStr">
        <is>
          <t>AWS, dev</t>
        </is>
      </c>
      <c r="B7" s="31">
        <f>FixedAwsDev</f>
        <v/>
      </c>
    </row>
    <row r="8">
      <c r="A8" s="10" t="inlineStr">
        <is>
          <t>Tooling and domain</t>
        </is>
      </c>
      <c r="B8" s="31">
        <f>ToolingMonthly</f>
        <v/>
      </c>
    </row>
    <row r="9">
      <c r="A9" s="10" t="inlineStr">
        <is>
          <t>App store developer fees (0 until mobile apps ship)</t>
        </is>
      </c>
      <c r="B9" s="31">
        <f>AppStoreMonthly</f>
        <v/>
      </c>
    </row>
    <row r="10">
      <c r="A10" s="35" t="inlineStr">
        <is>
          <t>Running costs</t>
        </is>
      </c>
      <c r="B10" s="36">
        <f>SUM(B5:B9)</f>
        <v/>
      </c>
    </row>
    <row r="11">
      <c r="A11" s="10" t="inlineStr">
        <is>
          <t>Business overhead</t>
        </is>
      </c>
      <c r="B11" s="31">
        <f>OverheadMonthly</f>
        <v/>
      </c>
    </row>
    <row r="12">
      <c r="A12" s="35" t="inlineStr">
        <is>
          <t>All-in fixed costs</t>
        </is>
      </c>
      <c r="B12" s="36">
        <f>B10+B11</f>
        <v/>
      </c>
    </row>
    <row r="14">
      <c r="A14" s="8" t="inlineStr">
        <is>
          <t>Contribution per paying seat, by average team size</t>
        </is>
      </c>
      <c r="B14" s="9" t="n"/>
      <c r="C14" s="9" t="n"/>
      <c r="D14" s="9" t="n"/>
      <c r="E14" s="9" t="n"/>
      <c r="F14" s="9" t="n"/>
      <c r="G14" s="9" t="n"/>
    </row>
    <row r="15">
      <c r="A15" s="7" t="inlineStr"/>
      <c r="B15" s="7" t="inlineStr">
        <is>
          <t>Avg team (Assumptions)</t>
        </is>
      </c>
      <c r="C15" s="7" t="inlineStr">
        <is>
          <t>1 seat</t>
        </is>
      </c>
      <c r="D15" s="7" t="inlineStr">
        <is>
          <t>3 seats</t>
        </is>
      </c>
      <c r="E15" s="7" t="inlineStr">
        <is>
          <t>10 seats</t>
        </is>
      </c>
      <c r="F15" s="7" t="inlineStr">
        <is>
          <t>50 seats</t>
        </is>
      </c>
      <c r="G15" s="7" t="inlineStr">
        <is>
          <t>Notes</t>
        </is>
      </c>
    </row>
    <row r="16">
      <c r="A16" s="10" t="inlineStr">
        <is>
          <t>Seats per team</t>
        </is>
      </c>
      <c r="B16" s="39">
        <f>AvgSeatsPerTeam</f>
        <v/>
      </c>
      <c r="C16" s="32" t="n">
        <v>1</v>
      </c>
      <c r="D16" s="32" t="n">
        <v>3</v>
      </c>
      <c r="E16" s="32" t="n">
        <v>10</v>
      </c>
      <c r="F16" s="32" t="n">
        <v>50</v>
      </c>
      <c r="G16" s="6" t="inlineStr"/>
    </row>
    <row r="17">
      <c r="A17" s="10" t="inlineStr">
        <is>
          <t>Billed seats per team</t>
        </is>
      </c>
      <c r="B17" s="40">
        <f>IF(PricingMode=2,MAX(B16,StarterMinSeats),B16)</f>
        <v/>
      </c>
      <c r="C17" s="40">
        <f>IF(PricingMode=2,MAX(C16,StarterMinSeats),C16)</f>
        <v/>
      </c>
      <c r="D17" s="40">
        <f>IF(PricingMode=2,MAX(D16,StarterMinSeats),D16)</f>
        <v/>
      </c>
      <c r="E17" s="40">
        <f>IF(PricingMode=2,MAX(E16,StarterMinSeats),E16)</f>
        <v/>
      </c>
      <c r="F17" s="40">
        <f>IF(PricingMode=2,MAX(F16,StarterMinSeats),F16)</f>
        <v/>
      </c>
      <c r="G17" s="6" t="inlineStr">
        <is>
          <t>Starter minimum applies in pricing mode 2.</t>
        </is>
      </c>
    </row>
    <row r="18">
      <c r="A18" s="10" t="inlineStr">
        <is>
          <t>Revenue per team</t>
        </is>
      </c>
      <c r="B18" s="30">
        <f>B17*PricePerSeat</f>
        <v/>
      </c>
      <c r="C18" s="30">
        <f>C17*PricePerSeat</f>
        <v/>
      </c>
      <c r="D18" s="30">
        <f>D17*PricePerSeat</f>
        <v/>
      </c>
      <c r="E18" s="30">
        <f>E17*PricePerSeat</f>
        <v/>
      </c>
      <c r="F18" s="30">
        <f>F17*PricePerSeat</f>
        <v/>
      </c>
      <c r="G18" s="6" t="inlineStr"/>
    </row>
    <row r="19">
      <c r="A19" s="10" t="inlineStr">
        <is>
          <t>Variable cost per team</t>
        </is>
      </c>
      <c r="B19" s="30">
        <f>B18*StripeVarPct+StripeFixed+MIN(B16*ReceiptsPerSeat,ReceiptCapPerTeam)*CostPerReceipt+B16*AwsPerSeat</f>
        <v/>
      </c>
      <c r="C19" s="30">
        <f>C18*StripeVarPct+StripeFixed+MIN(C16*ReceiptsPerSeat,ReceiptCapPerTeam)*CostPerReceipt+C16*AwsPerSeat</f>
        <v/>
      </c>
      <c r="D19" s="30">
        <f>D18*StripeVarPct+StripeFixed+MIN(D16*ReceiptsPerSeat,ReceiptCapPerTeam)*CostPerReceipt+D16*AwsPerSeat</f>
        <v/>
      </c>
      <c r="E19" s="30">
        <f>E18*StripeVarPct+StripeFixed+MIN(E16*ReceiptsPerSeat,ReceiptCapPerTeam)*CostPerReceipt+E16*AwsPerSeat</f>
        <v/>
      </c>
      <c r="F19" s="30">
        <f>F18*StripeVarPct+StripeFixed+MIN(F16*ReceiptsPerSeat,ReceiptCapPerTeam)*CostPerReceipt+F16*AwsPerSeat</f>
        <v/>
      </c>
      <c r="G19" s="6" t="inlineStr">
        <is>
          <t>Stripe + Bedrock + AWS, as on Per-seat margin.</t>
        </is>
      </c>
    </row>
    <row r="20">
      <c r="A20" s="10" t="inlineStr">
        <is>
          <t>Contribution per team</t>
        </is>
      </c>
      <c r="B20" s="30">
        <f>B18-B19</f>
        <v/>
      </c>
      <c r="C20" s="30">
        <f>C18-C19</f>
        <v/>
      </c>
      <c r="D20" s="30">
        <f>D18-D19</f>
        <v/>
      </c>
      <c r="E20" s="30">
        <f>E18-E19</f>
        <v/>
      </c>
      <c r="F20" s="30">
        <f>F18-F19</f>
        <v/>
      </c>
      <c r="G20" s="6" t="inlineStr"/>
    </row>
    <row r="21">
      <c r="A21" s="10" t="inlineStr">
        <is>
          <t>Contribution per paying seat</t>
        </is>
      </c>
      <c r="B21" s="30">
        <f>B20/B16</f>
        <v/>
      </c>
      <c r="C21" s="30">
        <f>C20/C16</f>
        <v/>
      </c>
      <c r="D21" s="30">
        <f>D20/D16</f>
        <v/>
      </c>
      <c r="E21" s="30">
        <f>E20/E16</f>
        <v/>
      </c>
      <c r="F21" s="30">
        <f>F20/F16</f>
        <v/>
      </c>
      <c r="G21" s="6" t="inlineStr">
        <is>
          <t>What each seat adds towards fixed costs.</t>
        </is>
      </c>
    </row>
    <row r="22">
      <c r="A22" s="35" t="inlineStr">
        <is>
          <t>Break-even seats, running costs</t>
        </is>
      </c>
      <c r="B22" s="41">
        <f>IF(B21&lt;=0,"never",ROUNDUP(RunningFixed/B21,0))</f>
        <v/>
      </c>
      <c r="C22" s="42">
        <f>IF(C21&lt;=0,"never",ROUNDUP(RunningFixed/C21,0))</f>
        <v/>
      </c>
      <c r="D22" s="42">
        <f>IF(D21&lt;=0,"never",ROUNDUP(RunningFixed/D21,0))</f>
        <v/>
      </c>
      <c r="E22" s="42">
        <f>IF(E21&lt;=0,"never",ROUNDUP(RunningFixed/E21,0))</f>
        <v/>
      </c>
      <c r="F22" s="42">
        <f>IF(F21&lt;=0,"never",ROUNDUP(RunningFixed/F21,0))</f>
        <v/>
      </c>
      <c r="G22" s="6" t="inlineStr">
        <is>
          <t>AWS + tooling + app store fees.</t>
        </is>
      </c>
    </row>
    <row r="23">
      <c r="A23" s="10" t="inlineStr">
        <is>
          <t>Break-even teams, running costs</t>
        </is>
      </c>
      <c r="B23" s="34">
        <f>IF(B21&lt;=0,"never",ROUNDUP(B22/B16,0))</f>
        <v/>
      </c>
      <c r="C23" s="34">
        <f>IF(C21&lt;=0,"never",ROUNDUP(C22/C16,0))</f>
        <v/>
      </c>
      <c r="D23" s="34">
        <f>IF(D21&lt;=0,"never",ROUNDUP(D22/D16,0))</f>
        <v/>
      </c>
      <c r="E23" s="34">
        <f>IF(E21&lt;=0,"never",ROUNDUP(E22/E16,0))</f>
        <v/>
      </c>
      <c r="F23" s="34">
        <f>IF(F21&lt;=0,"never",ROUNDUP(F22/F16,0))</f>
        <v/>
      </c>
      <c r="G23" s="6" t="inlineStr"/>
    </row>
    <row r="24">
      <c r="A24" s="35" t="inlineStr">
        <is>
          <t>Break-even seats, all-in</t>
        </is>
      </c>
      <c r="B24" s="41">
        <f>IF(B21&lt;=0,"never",ROUNDUP(AllInFixed/B21,0))</f>
        <v/>
      </c>
      <c r="C24" s="42">
        <f>IF(C21&lt;=0,"never",ROUNDUP(AllInFixed/C21,0))</f>
        <v/>
      </c>
      <c r="D24" s="42">
        <f>IF(D21&lt;=0,"never",ROUNDUP(AllInFixed/D21,0))</f>
        <v/>
      </c>
      <c r="E24" s="42">
        <f>IF(E21&lt;=0,"never",ROUNDUP(AllInFixed/E21,0))</f>
        <v/>
      </c>
      <c r="F24" s="42">
        <f>IF(F21&lt;=0,"never",ROUNDUP(AllInFixed/F21,0))</f>
        <v/>
      </c>
      <c r="G24" s="6" t="inlineStr">
        <is>
          <t>Adds business overhead.</t>
        </is>
      </c>
    </row>
    <row r="25">
      <c r="A25" s="10" t="inlineStr">
        <is>
          <t>Break-even teams, all-in</t>
        </is>
      </c>
      <c r="B25" s="34">
        <f>IF(B21&lt;=0,"never",ROUNDUP(B24/B16,0))</f>
        <v/>
      </c>
      <c r="C25" s="34">
        <f>IF(C21&lt;=0,"never",ROUNDUP(C24/C16,0))</f>
        <v/>
      </c>
      <c r="D25" s="34">
        <f>IF(D21&lt;=0,"never",ROUNDUP(D24/D16,0))</f>
        <v/>
      </c>
      <c r="E25" s="34">
        <f>IF(E21&lt;=0,"never",ROUNDUP(E24/E16,0))</f>
        <v/>
      </c>
      <c r="F25" s="34">
        <f>IF(F21&lt;=0,"never",ROUNDUP(F24/F16,0))</f>
        <v/>
      </c>
      <c r="G25" s="6" t="inlineStr"/>
    </row>
    <row r="27">
      <c r="A27" s="35" t="inlineStr">
        <is>
          <t>Break-even statement</t>
        </is>
      </c>
    </row>
    <row r="28" ht="32" customHeight="1">
      <c r="A28" s="3">
        <f>"At an average of "&amp;ROUND(AvgSeatsPerTeam,1)&amp;" seats per team, the business covers its running costs at "&amp;B22&amp;" paying seats ("&amp;B23&amp;" teams) and all-in costs including overhead at "&amp;B24&amp;" paying seats ("&amp;B25&amp;" teams)."</f>
        <v/>
      </c>
    </row>
  </sheetData>
  <mergeCells count="1">
    <mergeCell ref="A28:G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5" t="inlineStr">
        <is>
          <t>24-month projection (illustrative)</t>
        </is>
      </c>
    </row>
    <row r="2">
      <c r="A2" s="43" t="inlineStr">
        <is>
          <t>GROWTH INPUTS BELOW ARE ASSUMPTIONS, NOT FORECASTS. The pilot (bead supply-checkout-3ww) is meant to replace them with measured numbers.</t>
        </is>
      </c>
    </row>
    <row r="4">
      <c r="A4" s="8" t="inlineStr">
        <is>
          <t>Growth assumptions (inputs)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PilotMonths</t>
        </is>
      </c>
      <c r="B5" s="21" t="n">
        <v>3</v>
      </c>
      <c r="C5" s="6" t="inlineStr">
        <is>
          <t>ASSUMPTION: Months of free pilot before paid launch.</t>
        </is>
      </c>
    </row>
    <row r="6">
      <c r="A6" s="10" t="inlineStr">
        <is>
          <t>PilotTeams</t>
        </is>
      </c>
      <c r="B6" s="21" t="n">
        <v>5</v>
      </c>
      <c r="C6" s="6" t="inlineStr">
        <is>
          <t>ASSUMPTION: Teams in the free pilot (family business plus 3-5 others).</t>
        </is>
      </c>
    </row>
    <row r="7">
      <c r="A7" s="10" t="inlineStr">
        <is>
          <t>PilotConversion</t>
        </is>
      </c>
      <c r="B7" s="19" t="n">
        <v>0.6</v>
      </c>
      <c r="C7" s="6" t="inlineStr">
        <is>
          <t>ASSUMPTION: Share of pilot teams that start paying at launch.</t>
        </is>
      </c>
    </row>
    <row r="8">
      <c r="A8" s="10" t="inlineStr">
        <is>
          <t>NewTeamsFirstMonth</t>
        </is>
      </c>
      <c r="B8" s="27" t="n">
        <v>4</v>
      </c>
      <c r="C8" s="6" t="inlineStr">
        <is>
          <t>ASSUMPTION: New paying teams in the first paid month (excluding converted pilot teams).</t>
        </is>
      </c>
    </row>
    <row r="9">
      <c r="A9" s="10" t="inlineStr">
        <is>
          <t>NewTeamGrowth</t>
        </is>
      </c>
      <c r="B9" s="19" t="n">
        <v>0.12</v>
      </c>
      <c r="C9" s="6" t="inlineStr">
        <is>
          <t>ASSUMPTION: Monthly growth in new-team sign-ups.</t>
        </is>
      </c>
    </row>
    <row r="10">
      <c r="A10" s="10" t="inlineStr">
        <is>
          <t>MonthlyChurn</t>
        </is>
      </c>
      <c r="B10" s="19" t="n">
        <v>0.03</v>
      </c>
      <c r="C10" s="6" t="inlineStr">
        <is>
          <t>ASSUMPTION: Share of paying teams that cancel each month.</t>
        </is>
      </c>
    </row>
    <row r="12" ht="32" customHeight="1">
      <c r="A12" s="7" t="inlineStr">
        <is>
          <t>Month</t>
        </is>
      </c>
      <c r="B12" s="7" t="inlineStr">
        <is>
          <t>Phase</t>
        </is>
      </c>
      <c r="C12" s="7" t="inlineStr">
        <is>
          <t>New paying teams</t>
        </is>
      </c>
      <c r="D12" s="7" t="inlineStr">
        <is>
          <t>Churned teams</t>
        </is>
      </c>
      <c r="E12" s="7" t="inlineStr">
        <is>
          <t>Paying teams</t>
        </is>
      </c>
      <c r="F12" s="7" t="inlineStr">
        <is>
          <t>Paying seats</t>
        </is>
      </c>
      <c r="G12" s="7" t="inlineStr">
        <is>
          <t>Revenue</t>
        </is>
      </c>
      <c r="H12" s="7" t="inlineStr">
        <is>
          <t>Stripe fees</t>
        </is>
      </c>
      <c r="I12" s="7" t="inlineStr">
        <is>
          <t>Bedrock</t>
        </is>
      </c>
      <c r="J12" s="7" t="inlineStr">
        <is>
          <t>AWS pay-per-use</t>
        </is>
      </c>
      <c r="K12" s="7" t="inlineStr">
        <is>
          <t>Cognito</t>
        </is>
      </c>
      <c r="L12" s="7" t="inlineStr">
        <is>
          <t>Fixed AWS</t>
        </is>
      </c>
      <c r="M12" s="7" t="inlineStr">
        <is>
          <t>Tooling + stores</t>
        </is>
      </c>
      <c r="N12" s="7" t="inlineStr">
        <is>
          <t>Overhead</t>
        </is>
      </c>
      <c r="O12" s="7" t="inlineStr">
        <is>
          <t>Total cost</t>
        </is>
      </c>
      <c r="P12" s="7" t="inlineStr">
        <is>
          <t>Profit</t>
        </is>
      </c>
      <c r="Q12" s="7" t="inlineStr">
        <is>
          <t>Cumulative profit</t>
        </is>
      </c>
      <c r="R12" s="7" t="inlineStr">
        <is>
          <t>Profitable month</t>
        </is>
      </c>
    </row>
    <row r="13">
      <c r="A13" s="44" t="n">
        <v>1</v>
      </c>
      <c r="B13" s="10">
        <f>IF(A13&lt;=PilotMonths,"Pilot","Paid")</f>
        <v/>
      </c>
      <c r="C13" s="34">
        <f>IF(A13&lt;=PilotMonths,0,ROUND(NewTeamsFirstMonth*(1+NewTeamGrowth)^(A13-PilotMonths-1),0)+IF(A13=PilotMonths+1,ROUND(PilotTeams*PilotConversion,0),0))</f>
        <v/>
      </c>
      <c r="D13" s="34">
        <f>0</f>
        <v/>
      </c>
      <c r="E13" s="34">
        <f>C13-D13</f>
        <v/>
      </c>
      <c r="F13" s="34">
        <f>E13*AvgSeatsPerTeam</f>
        <v/>
      </c>
      <c r="G13" s="45">
        <f>E13*IF(PricingMode=2,MAX(AvgSeatsPerTeam,StarterMinSeats),AvgSeatsPerTeam)*PricePerSeat</f>
        <v/>
      </c>
      <c r="H13" s="45">
        <f>G13*StripeVarPct+E13*StripeFixed</f>
        <v/>
      </c>
      <c r="I13" s="45">
        <f>(E13+IF(B13="Pilot",PilotTeams,0))*MIN(AvgSeatsPerTeam*ReceiptsPerSeat,ReceiptCapPerTeam)*CostPerReceipt</f>
        <v/>
      </c>
      <c r="J13" s="45">
        <f>(F13+IF(B13="Pilot",PilotTeams*AvgSeatsPerTeam,0))*AwsPerSeat</f>
        <v/>
      </c>
      <c r="K13" s="45">
        <f>MAX(0,F13-CognitoFreeMau)*CognitoMauPrice</f>
        <v/>
      </c>
      <c r="L13" s="46">
        <f>FixedAwsTotal</f>
        <v/>
      </c>
      <c r="M13" s="46">
        <f>ToolingMonthly+AppStoreMonthly</f>
        <v/>
      </c>
      <c r="N13" s="46">
        <f>OverheadMonthly</f>
        <v/>
      </c>
      <c r="O13" s="45">
        <f>SUM(H13:N13)</f>
        <v/>
      </c>
      <c r="P13" s="45">
        <f>G13-O13</f>
        <v/>
      </c>
      <c r="Q13" s="45">
        <f>P13</f>
        <v/>
      </c>
      <c r="R13" s="34">
        <f>IF(P13&gt;0,A13,"")</f>
        <v/>
      </c>
    </row>
    <row r="14">
      <c r="A14" s="44" t="n">
        <v>2</v>
      </c>
      <c r="B14" s="10">
        <f>IF(A14&lt;=PilotMonths,"Pilot","Paid")</f>
        <v/>
      </c>
      <c r="C14" s="34">
        <f>IF(A14&lt;=PilotMonths,0,ROUND(NewTeamsFirstMonth*(1+NewTeamGrowth)^(A14-PilotMonths-1),0)+IF(A14=PilotMonths+1,ROUND(PilotTeams*PilotConversion,0),0))</f>
        <v/>
      </c>
      <c r="D14" s="34">
        <f>ROUND(E13*MonthlyChurn,0)</f>
        <v/>
      </c>
      <c r="E14" s="34">
        <f>E13+C14-D14</f>
        <v/>
      </c>
      <c r="F14" s="34">
        <f>E14*AvgSeatsPerTeam</f>
        <v/>
      </c>
      <c r="G14" s="45">
        <f>E14*IF(PricingMode=2,MAX(AvgSeatsPerTeam,StarterMinSeats),AvgSeatsPerTeam)*PricePerSeat</f>
        <v/>
      </c>
      <c r="H14" s="45">
        <f>G14*StripeVarPct+E14*StripeFixed</f>
        <v/>
      </c>
      <c r="I14" s="45">
        <f>(E14+IF(B14="Pilot",PilotTeams,0))*MIN(AvgSeatsPerTeam*ReceiptsPerSeat,ReceiptCapPerTeam)*CostPerReceipt</f>
        <v/>
      </c>
      <c r="J14" s="45">
        <f>(F14+IF(B14="Pilot",PilotTeams*AvgSeatsPerTeam,0))*AwsPerSeat</f>
        <v/>
      </c>
      <c r="K14" s="45">
        <f>MAX(0,F14-CognitoFreeMau)*CognitoMauPrice</f>
        <v/>
      </c>
      <c r="L14" s="46">
        <f>FixedAwsTotal</f>
        <v/>
      </c>
      <c r="M14" s="46">
        <f>ToolingMonthly+AppStoreMonthly</f>
        <v/>
      </c>
      <c r="N14" s="46">
        <f>OverheadMonthly</f>
        <v/>
      </c>
      <c r="O14" s="45">
        <f>SUM(H14:N14)</f>
        <v/>
      </c>
      <c r="P14" s="45">
        <f>G14-O14</f>
        <v/>
      </c>
      <c r="Q14" s="45">
        <f>Q13+P14</f>
        <v/>
      </c>
      <c r="R14" s="34">
        <f>IF(P14&gt;0,A14,"")</f>
        <v/>
      </c>
    </row>
    <row r="15">
      <c r="A15" s="44" t="n">
        <v>3</v>
      </c>
      <c r="B15" s="10">
        <f>IF(A15&lt;=PilotMonths,"Pilot","Paid")</f>
        <v/>
      </c>
      <c r="C15" s="34">
        <f>IF(A15&lt;=PilotMonths,0,ROUND(NewTeamsFirstMonth*(1+NewTeamGrowth)^(A15-PilotMonths-1),0)+IF(A15=PilotMonths+1,ROUND(PilotTeams*PilotConversion,0),0))</f>
        <v/>
      </c>
      <c r="D15" s="34">
        <f>ROUND(E14*MonthlyChurn,0)</f>
        <v/>
      </c>
      <c r="E15" s="34">
        <f>E14+C15-D15</f>
        <v/>
      </c>
      <c r="F15" s="34">
        <f>E15*AvgSeatsPerTeam</f>
        <v/>
      </c>
      <c r="G15" s="45">
        <f>E15*IF(PricingMode=2,MAX(AvgSeatsPerTeam,StarterMinSeats),AvgSeatsPerTeam)*PricePerSeat</f>
        <v/>
      </c>
      <c r="H15" s="45">
        <f>G15*StripeVarPct+E15*StripeFixed</f>
        <v/>
      </c>
      <c r="I15" s="45">
        <f>(E15+IF(B15="Pilot",PilotTeams,0))*MIN(AvgSeatsPerTeam*ReceiptsPerSeat,ReceiptCapPerTeam)*CostPerReceipt</f>
        <v/>
      </c>
      <c r="J15" s="45">
        <f>(F15+IF(B15="Pilot",PilotTeams*AvgSeatsPerTeam,0))*AwsPerSeat</f>
        <v/>
      </c>
      <c r="K15" s="45">
        <f>MAX(0,F15-CognitoFreeMau)*CognitoMauPrice</f>
        <v/>
      </c>
      <c r="L15" s="46">
        <f>FixedAwsTotal</f>
        <v/>
      </c>
      <c r="M15" s="46">
        <f>ToolingMonthly+AppStoreMonthly</f>
        <v/>
      </c>
      <c r="N15" s="46">
        <f>OverheadMonthly</f>
        <v/>
      </c>
      <c r="O15" s="45">
        <f>SUM(H15:N15)</f>
        <v/>
      </c>
      <c r="P15" s="45">
        <f>G15-O15</f>
        <v/>
      </c>
      <c r="Q15" s="45">
        <f>Q14+P15</f>
        <v/>
      </c>
      <c r="R15" s="34">
        <f>IF(P15&gt;0,A15,"")</f>
        <v/>
      </c>
    </row>
    <row r="16">
      <c r="A16" s="44" t="n">
        <v>4</v>
      </c>
      <c r="B16" s="10">
        <f>IF(A16&lt;=PilotMonths,"Pilot","Paid")</f>
        <v/>
      </c>
      <c r="C16" s="34">
        <f>IF(A16&lt;=PilotMonths,0,ROUND(NewTeamsFirstMonth*(1+NewTeamGrowth)^(A16-PilotMonths-1),0)+IF(A16=PilotMonths+1,ROUND(PilotTeams*PilotConversion,0),0))</f>
        <v/>
      </c>
      <c r="D16" s="34">
        <f>ROUND(E15*MonthlyChurn,0)</f>
        <v/>
      </c>
      <c r="E16" s="34">
        <f>E15+C16-D16</f>
        <v/>
      </c>
      <c r="F16" s="34">
        <f>E16*AvgSeatsPerTeam</f>
        <v/>
      </c>
      <c r="G16" s="45">
        <f>E16*IF(PricingMode=2,MAX(AvgSeatsPerTeam,StarterMinSeats),AvgSeatsPerTeam)*PricePerSeat</f>
        <v/>
      </c>
      <c r="H16" s="45">
        <f>G16*StripeVarPct+E16*StripeFixed</f>
        <v/>
      </c>
      <c r="I16" s="45">
        <f>(E16+IF(B16="Pilot",PilotTeams,0))*MIN(AvgSeatsPerTeam*ReceiptsPerSeat,ReceiptCapPerTeam)*CostPerReceipt</f>
        <v/>
      </c>
      <c r="J16" s="45">
        <f>(F16+IF(B16="Pilot",PilotTeams*AvgSeatsPerTeam,0))*AwsPerSeat</f>
        <v/>
      </c>
      <c r="K16" s="45">
        <f>MAX(0,F16-CognitoFreeMau)*CognitoMauPrice</f>
        <v/>
      </c>
      <c r="L16" s="46">
        <f>FixedAwsTotal</f>
        <v/>
      </c>
      <c r="M16" s="46">
        <f>ToolingMonthly+AppStoreMonthly</f>
        <v/>
      </c>
      <c r="N16" s="46">
        <f>OverheadMonthly</f>
        <v/>
      </c>
      <c r="O16" s="45">
        <f>SUM(H16:N16)</f>
        <v/>
      </c>
      <c r="P16" s="45">
        <f>G16-O16</f>
        <v/>
      </c>
      <c r="Q16" s="45">
        <f>Q15+P16</f>
        <v/>
      </c>
      <c r="R16" s="34">
        <f>IF(P16&gt;0,A16,"")</f>
        <v/>
      </c>
    </row>
    <row r="17">
      <c r="A17" s="44" t="n">
        <v>5</v>
      </c>
      <c r="B17" s="10">
        <f>IF(A17&lt;=PilotMonths,"Pilot","Paid")</f>
        <v/>
      </c>
      <c r="C17" s="34">
        <f>IF(A17&lt;=PilotMonths,0,ROUND(NewTeamsFirstMonth*(1+NewTeamGrowth)^(A17-PilotMonths-1),0)+IF(A17=PilotMonths+1,ROUND(PilotTeams*PilotConversion,0),0))</f>
        <v/>
      </c>
      <c r="D17" s="34">
        <f>ROUND(E16*MonthlyChurn,0)</f>
        <v/>
      </c>
      <c r="E17" s="34">
        <f>E16+C17-D17</f>
        <v/>
      </c>
      <c r="F17" s="34">
        <f>E17*AvgSeatsPerTeam</f>
        <v/>
      </c>
      <c r="G17" s="45">
        <f>E17*IF(PricingMode=2,MAX(AvgSeatsPerTeam,StarterMinSeats),AvgSeatsPerTeam)*PricePerSeat</f>
        <v/>
      </c>
      <c r="H17" s="45">
        <f>G17*StripeVarPct+E17*StripeFixed</f>
        <v/>
      </c>
      <c r="I17" s="45">
        <f>(E17+IF(B17="Pilot",PilotTeams,0))*MIN(AvgSeatsPerTeam*ReceiptsPerSeat,ReceiptCapPerTeam)*CostPerReceipt</f>
        <v/>
      </c>
      <c r="J17" s="45">
        <f>(F17+IF(B17="Pilot",PilotTeams*AvgSeatsPerTeam,0))*AwsPerSeat</f>
        <v/>
      </c>
      <c r="K17" s="45">
        <f>MAX(0,F17-CognitoFreeMau)*CognitoMauPrice</f>
        <v/>
      </c>
      <c r="L17" s="46">
        <f>FixedAwsTotal</f>
        <v/>
      </c>
      <c r="M17" s="46">
        <f>ToolingMonthly+AppStoreMonthly</f>
        <v/>
      </c>
      <c r="N17" s="46">
        <f>OverheadMonthly</f>
        <v/>
      </c>
      <c r="O17" s="45">
        <f>SUM(H17:N17)</f>
        <v/>
      </c>
      <c r="P17" s="45">
        <f>G17-O17</f>
        <v/>
      </c>
      <c r="Q17" s="45">
        <f>Q16+P17</f>
        <v/>
      </c>
      <c r="R17" s="34">
        <f>IF(P17&gt;0,A17,"")</f>
        <v/>
      </c>
    </row>
    <row r="18">
      <c r="A18" s="44" t="n">
        <v>6</v>
      </c>
      <c r="B18" s="10">
        <f>IF(A18&lt;=PilotMonths,"Pilot","Paid")</f>
        <v/>
      </c>
      <c r="C18" s="34">
        <f>IF(A18&lt;=PilotMonths,0,ROUND(NewTeamsFirstMonth*(1+NewTeamGrowth)^(A18-PilotMonths-1),0)+IF(A18=PilotMonths+1,ROUND(PilotTeams*PilotConversion,0),0))</f>
        <v/>
      </c>
      <c r="D18" s="34">
        <f>ROUND(E17*MonthlyChurn,0)</f>
        <v/>
      </c>
      <c r="E18" s="34">
        <f>E17+C18-D18</f>
        <v/>
      </c>
      <c r="F18" s="34">
        <f>E18*AvgSeatsPerTeam</f>
        <v/>
      </c>
      <c r="G18" s="45">
        <f>E18*IF(PricingMode=2,MAX(AvgSeatsPerTeam,StarterMinSeats),AvgSeatsPerTeam)*PricePerSeat</f>
        <v/>
      </c>
      <c r="H18" s="45">
        <f>G18*StripeVarPct+E18*StripeFixed</f>
        <v/>
      </c>
      <c r="I18" s="45">
        <f>(E18+IF(B18="Pilot",PilotTeams,0))*MIN(AvgSeatsPerTeam*ReceiptsPerSeat,ReceiptCapPerTeam)*CostPerReceipt</f>
        <v/>
      </c>
      <c r="J18" s="45">
        <f>(F18+IF(B18="Pilot",PilotTeams*AvgSeatsPerTeam,0))*AwsPerSeat</f>
        <v/>
      </c>
      <c r="K18" s="45">
        <f>MAX(0,F18-CognitoFreeMau)*CognitoMauPrice</f>
        <v/>
      </c>
      <c r="L18" s="46">
        <f>FixedAwsTotal</f>
        <v/>
      </c>
      <c r="M18" s="46">
        <f>ToolingMonthly+AppStoreMonthly</f>
        <v/>
      </c>
      <c r="N18" s="46">
        <f>OverheadMonthly</f>
        <v/>
      </c>
      <c r="O18" s="45">
        <f>SUM(H18:N18)</f>
        <v/>
      </c>
      <c r="P18" s="45">
        <f>G18-O18</f>
        <v/>
      </c>
      <c r="Q18" s="45">
        <f>Q17+P18</f>
        <v/>
      </c>
      <c r="R18" s="34">
        <f>IF(P18&gt;0,A18,"")</f>
        <v/>
      </c>
    </row>
    <row r="19">
      <c r="A19" s="44" t="n">
        <v>7</v>
      </c>
      <c r="B19" s="10">
        <f>IF(A19&lt;=PilotMonths,"Pilot","Paid")</f>
        <v/>
      </c>
      <c r="C19" s="34">
        <f>IF(A19&lt;=PilotMonths,0,ROUND(NewTeamsFirstMonth*(1+NewTeamGrowth)^(A19-PilotMonths-1),0)+IF(A19=PilotMonths+1,ROUND(PilotTeams*PilotConversion,0),0))</f>
        <v/>
      </c>
      <c r="D19" s="34">
        <f>ROUND(E18*MonthlyChurn,0)</f>
        <v/>
      </c>
      <c r="E19" s="34">
        <f>E18+C19-D19</f>
        <v/>
      </c>
      <c r="F19" s="34">
        <f>E19*AvgSeatsPerTeam</f>
        <v/>
      </c>
      <c r="G19" s="45">
        <f>E19*IF(PricingMode=2,MAX(AvgSeatsPerTeam,StarterMinSeats),AvgSeatsPerTeam)*PricePerSeat</f>
        <v/>
      </c>
      <c r="H19" s="45">
        <f>G19*StripeVarPct+E19*StripeFixed</f>
        <v/>
      </c>
      <c r="I19" s="45">
        <f>(E19+IF(B19="Pilot",PilotTeams,0))*MIN(AvgSeatsPerTeam*ReceiptsPerSeat,ReceiptCapPerTeam)*CostPerReceipt</f>
        <v/>
      </c>
      <c r="J19" s="45">
        <f>(F19+IF(B19="Pilot",PilotTeams*AvgSeatsPerTeam,0))*AwsPerSeat</f>
        <v/>
      </c>
      <c r="K19" s="45">
        <f>MAX(0,F19-CognitoFreeMau)*CognitoMauPrice</f>
        <v/>
      </c>
      <c r="L19" s="46">
        <f>FixedAwsTotal</f>
        <v/>
      </c>
      <c r="M19" s="46">
        <f>ToolingMonthly+AppStoreMonthly</f>
        <v/>
      </c>
      <c r="N19" s="46">
        <f>OverheadMonthly</f>
        <v/>
      </c>
      <c r="O19" s="45">
        <f>SUM(H19:N19)</f>
        <v/>
      </c>
      <c r="P19" s="45">
        <f>G19-O19</f>
        <v/>
      </c>
      <c r="Q19" s="45">
        <f>Q18+P19</f>
        <v/>
      </c>
      <c r="R19" s="34">
        <f>IF(P19&gt;0,A19,"")</f>
        <v/>
      </c>
    </row>
    <row r="20">
      <c r="A20" s="44" t="n">
        <v>8</v>
      </c>
      <c r="B20" s="10">
        <f>IF(A20&lt;=PilotMonths,"Pilot","Paid")</f>
        <v/>
      </c>
      <c r="C20" s="34">
        <f>IF(A20&lt;=PilotMonths,0,ROUND(NewTeamsFirstMonth*(1+NewTeamGrowth)^(A20-PilotMonths-1),0)+IF(A20=PilotMonths+1,ROUND(PilotTeams*PilotConversion,0),0))</f>
        <v/>
      </c>
      <c r="D20" s="34">
        <f>ROUND(E19*MonthlyChurn,0)</f>
        <v/>
      </c>
      <c r="E20" s="34">
        <f>E19+C20-D20</f>
        <v/>
      </c>
      <c r="F20" s="34">
        <f>E20*AvgSeatsPerTeam</f>
        <v/>
      </c>
      <c r="G20" s="45">
        <f>E20*IF(PricingMode=2,MAX(AvgSeatsPerTeam,StarterMinSeats),AvgSeatsPerTeam)*PricePerSeat</f>
        <v/>
      </c>
      <c r="H20" s="45">
        <f>G20*StripeVarPct+E20*StripeFixed</f>
        <v/>
      </c>
      <c r="I20" s="45">
        <f>(E20+IF(B20="Pilot",PilotTeams,0))*MIN(AvgSeatsPerTeam*ReceiptsPerSeat,ReceiptCapPerTeam)*CostPerReceipt</f>
        <v/>
      </c>
      <c r="J20" s="45">
        <f>(F20+IF(B20="Pilot",PilotTeams*AvgSeatsPerTeam,0))*AwsPerSeat</f>
        <v/>
      </c>
      <c r="K20" s="45">
        <f>MAX(0,F20-CognitoFreeMau)*CognitoMauPrice</f>
        <v/>
      </c>
      <c r="L20" s="46">
        <f>FixedAwsTotal</f>
        <v/>
      </c>
      <c r="M20" s="46">
        <f>ToolingMonthly+AppStoreMonthly</f>
        <v/>
      </c>
      <c r="N20" s="46">
        <f>OverheadMonthly</f>
        <v/>
      </c>
      <c r="O20" s="45">
        <f>SUM(H20:N20)</f>
        <v/>
      </c>
      <c r="P20" s="45">
        <f>G20-O20</f>
        <v/>
      </c>
      <c r="Q20" s="45">
        <f>Q19+P20</f>
        <v/>
      </c>
      <c r="R20" s="34">
        <f>IF(P20&gt;0,A20,"")</f>
        <v/>
      </c>
    </row>
    <row r="21">
      <c r="A21" s="44" t="n">
        <v>9</v>
      </c>
      <c r="B21" s="10">
        <f>IF(A21&lt;=PilotMonths,"Pilot","Paid")</f>
        <v/>
      </c>
      <c r="C21" s="34">
        <f>IF(A21&lt;=PilotMonths,0,ROUND(NewTeamsFirstMonth*(1+NewTeamGrowth)^(A21-PilotMonths-1),0)+IF(A21=PilotMonths+1,ROUND(PilotTeams*PilotConversion,0),0))</f>
        <v/>
      </c>
      <c r="D21" s="34">
        <f>ROUND(E20*MonthlyChurn,0)</f>
        <v/>
      </c>
      <c r="E21" s="34">
        <f>E20+C21-D21</f>
        <v/>
      </c>
      <c r="F21" s="34">
        <f>E21*AvgSeatsPerTeam</f>
        <v/>
      </c>
      <c r="G21" s="45">
        <f>E21*IF(PricingMode=2,MAX(AvgSeatsPerTeam,StarterMinSeats),AvgSeatsPerTeam)*PricePerSeat</f>
        <v/>
      </c>
      <c r="H21" s="45">
        <f>G21*StripeVarPct+E21*StripeFixed</f>
        <v/>
      </c>
      <c r="I21" s="45">
        <f>(E21+IF(B21="Pilot",PilotTeams,0))*MIN(AvgSeatsPerTeam*ReceiptsPerSeat,ReceiptCapPerTeam)*CostPerReceipt</f>
        <v/>
      </c>
      <c r="J21" s="45">
        <f>(F21+IF(B21="Pilot",PilotTeams*AvgSeatsPerTeam,0))*AwsPerSeat</f>
        <v/>
      </c>
      <c r="K21" s="45">
        <f>MAX(0,F21-CognitoFreeMau)*CognitoMauPrice</f>
        <v/>
      </c>
      <c r="L21" s="46">
        <f>FixedAwsTotal</f>
        <v/>
      </c>
      <c r="M21" s="46">
        <f>ToolingMonthly+AppStoreMonthly</f>
        <v/>
      </c>
      <c r="N21" s="46">
        <f>OverheadMonthly</f>
        <v/>
      </c>
      <c r="O21" s="45">
        <f>SUM(H21:N21)</f>
        <v/>
      </c>
      <c r="P21" s="45">
        <f>G21-O21</f>
        <v/>
      </c>
      <c r="Q21" s="45">
        <f>Q20+P21</f>
        <v/>
      </c>
      <c r="R21" s="34">
        <f>IF(P21&gt;0,A21,"")</f>
        <v/>
      </c>
    </row>
    <row r="22">
      <c r="A22" s="44" t="n">
        <v>10</v>
      </c>
      <c r="B22" s="10">
        <f>IF(A22&lt;=PilotMonths,"Pilot","Paid")</f>
        <v/>
      </c>
      <c r="C22" s="34">
        <f>IF(A22&lt;=PilotMonths,0,ROUND(NewTeamsFirstMonth*(1+NewTeamGrowth)^(A22-PilotMonths-1),0)+IF(A22=PilotMonths+1,ROUND(PilotTeams*PilotConversion,0),0))</f>
        <v/>
      </c>
      <c r="D22" s="34">
        <f>ROUND(E21*MonthlyChurn,0)</f>
        <v/>
      </c>
      <c r="E22" s="34">
        <f>E21+C22-D22</f>
        <v/>
      </c>
      <c r="F22" s="34">
        <f>E22*AvgSeatsPerTeam</f>
        <v/>
      </c>
      <c r="G22" s="45">
        <f>E22*IF(PricingMode=2,MAX(AvgSeatsPerTeam,StarterMinSeats),AvgSeatsPerTeam)*PricePerSeat</f>
        <v/>
      </c>
      <c r="H22" s="45">
        <f>G22*StripeVarPct+E22*StripeFixed</f>
        <v/>
      </c>
      <c r="I22" s="45">
        <f>(E22+IF(B22="Pilot",PilotTeams,0))*MIN(AvgSeatsPerTeam*ReceiptsPerSeat,ReceiptCapPerTeam)*CostPerReceipt</f>
        <v/>
      </c>
      <c r="J22" s="45">
        <f>(F22+IF(B22="Pilot",PilotTeams*AvgSeatsPerTeam,0))*AwsPerSeat</f>
        <v/>
      </c>
      <c r="K22" s="45">
        <f>MAX(0,F22-CognitoFreeMau)*CognitoMauPrice</f>
        <v/>
      </c>
      <c r="L22" s="46">
        <f>FixedAwsTotal</f>
        <v/>
      </c>
      <c r="M22" s="46">
        <f>ToolingMonthly+AppStoreMonthly</f>
        <v/>
      </c>
      <c r="N22" s="46">
        <f>OverheadMonthly</f>
        <v/>
      </c>
      <c r="O22" s="45">
        <f>SUM(H22:N22)</f>
        <v/>
      </c>
      <c r="P22" s="45">
        <f>G22-O22</f>
        <v/>
      </c>
      <c r="Q22" s="45">
        <f>Q21+P22</f>
        <v/>
      </c>
      <c r="R22" s="34">
        <f>IF(P22&gt;0,A22,"")</f>
        <v/>
      </c>
    </row>
    <row r="23">
      <c r="A23" s="44" t="n">
        <v>11</v>
      </c>
      <c r="B23" s="10">
        <f>IF(A23&lt;=PilotMonths,"Pilot","Paid")</f>
        <v/>
      </c>
      <c r="C23" s="34">
        <f>IF(A23&lt;=PilotMonths,0,ROUND(NewTeamsFirstMonth*(1+NewTeamGrowth)^(A23-PilotMonths-1),0)+IF(A23=PilotMonths+1,ROUND(PilotTeams*PilotConversion,0),0))</f>
        <v/>
      </c>
      <c r="D23" s="34">
        <f>ROUND(E22*MonthlyChurn,0)</f>
        <v/>
      </c>
      <c r="E23" s="34">
        <f>E22+C23-D23</f>
        <v/>
      </c>
      <c r="F23" s="34">
        <f>E23*AvgSeatsPerTeam</f>
        <v/>
      </c>
      <c r="G23" s="45">
        <f>E23*IF(PricingMode=2,MAX(AvgSeatsPerTeam,StarterMinSeats),AvgSeatsPerTeam)*PricePerSeat</f>
        <v/>
      </c>
      <c r="H23" s="45">
        <f>G23*StripeVarPct+E23*StripeFixed</f>
        <v/>
      </c>
      <c r="I23" s="45">
        <f>(E23+IF(B23="Pilot",PilotTeams,0))*MIN(AvgSeatsPerTeam*ReceiptsPerSeat,ReceiptCapPerTeam)*CostPerReceipt</f>
        <v/>
      </c>
      <c r="J23" s="45">
        <f>(F23+IF(B23="Pilot",PilotTeams*AvgSeatsPerTeam,0))*AwsPerSeat</f>
        <v/>
      </c>
      <c r="K23" s="45">
        <f>MAX(0,F23-CognitoFreeMau)*CognitoMauPrice</f>
        <v/>
      </c>
      <c r="L23" s="46">
        <f>FixedAwsTotal</f>
        <v/>
      </c>
      <c r="M23" s="46">
        <f>ToolingMonthly+AppStoreMonthly</f>
        <v/>
      </c>
      <c r="N23" s="46">
        <f>OverheadMonthly</f>
        <v/>
      </c>
      <c r="O23" s="45">
        <f>SUM(H23:N23)</f>
        <v/>
      </c>
      <c r="P23" s="45">
        <f>G23-O23</f>
        <v/>
      </c>
      <c r="Q23" s="45">
        <f>Q22+P23</f>
        <v/>
      </c>
      <c r="R23" s="34">
        <f>IF(P23&gt;0,A23,"")</f>
        <v/>
      </c>
    </row>
    <row r="24">
      <c r="A24" s="44" t="n">
        <v>12</v>
      </c>
      <c r="B24" s="10">
        <f>IF(A24&lt;=PilotMonths,"Pilot","Paid")</f>
        <v/>
      </c>
      <c r="C24" s="34">
        <f>IF(A24&lt;=PilotMonths,0,ROUND(NewTeamsFirstMonth*(1+NewTeamGrowth)^(A24-PilotMonths-1),0)+IF(A24=PilotMonths+1,ROUND(PilotTeams*PilotConversion,0),0))</f>
        <v/>
      </c>
      <c r="D24" s="34">
        <f>ROUND(E23*MonthlyChurn,0)</f>
        <v/>
      </c>
      <c r="E24" s="34">
        <f>E23+C24-D24</f>
        <v/>
      </c>
      <c r="F24" s="34">
        <f>E24*AvgSeatsPerTeam</f>
        <v/>
      </c>
      <c r="G24" s="45">
        <f>E24*IF(PricingMode=2,MAX(AvgSeatsPerTeam,StarterMinSeats),AvgSeatsPerTeam)*PricePerSeat</f>
        <v/>
      </c>
      <c r="H24" s="45">
        <f>G24*StripeVarPct+E24*StripeFixed</f>
        <v/>
      </c>
      <c r="I24" s="45">
        <f>(E24+IF(B24="Pilot",PilotTeams,0))*MIN(AvgSeatsPerTeam*ReceiptsPerSeat,ReceiptCapPerTeam)*CostPerReceipt</f>
        <v/>
      </c>
      <c r="J24" s="45">
        <f>(F24+IF(B24="Pilot",PilotTeams*AvgSeatsPerTeam,0))*AwsPerSeat</f>
        <v/>
      </c>
      <c r="K24" s="45">
        <f>MAX(0,F24-CognitoFreeMau)*CognitoMauPrice</f>
        <v/>
      </c>
      <c r="L24" s="46">
        <f>FixedAwsTotal</f>
        <v/>
      </c>
      <c r="M24" s="46">
        <f>ToolingMonthly+AppStoreMonthly</f>
        <v/>
      </c>
      <c r="N24" s="46">
        <f>OverheadMonthly</f>
        <v/>
      </c>
      <c r="O24" s="45">
        <f>SUM(H24:N24)</f>
        <v/>
      </c>
      <c r="P24" s="45">
        <f>G24-O24</f>
        <v/>
      </c>
      <c r="Q24" s="45">
        <f>Q23+P24</f>
        <v/>
      </c>
      <c r="R24" s="34">
        <f>IF(P24&gt;0,A24,"")</f>
        <v/>
      </c>
    </row>
    <row r="25">
      <c r="A25" s="44" t="n">
        <v>13</v>
      </c>
      <c r="B25" s="10">
        <f>IF(A25&lt;=PilotMonths,"Pilot","Paid")</f>
        <v/>
      </c>
      <c r="C25" s="34">
        <f>IF(A25&lt;=PilotMonths,0,ROUND(NewTeamsFirstMonth*(1+NewTeamGrowth)^(A25-PilotMonths-1),0)+IF(A25=PilotMonths+1,ROUND(PilotTeams*PilotConversion,0),0))</f>
        <v/>
      </c>
      <c r="D25" s="34">
        <f>ROUND(E24*MonthlyChurn,0)</f>
        <v/>
      </c>
      <c r="E25" s="34">
        <f>E24+C25-D25</f>
        <v/>
      </c>
      <c r="F25" s="34">
        <f>E25*AvgSeatsPerTeam</f>
        <v/>
      </c>
      <c r="G25" s="45">
        <f>E25*IF(PricingMode=2,MAX(AvgSeatsPerTeam,StarterMinSeats),AvgSeatsPerTeam)*PricePerSeat</f>
        <v/>
      </c>
      <c r="H25" s="45">
        <f>G25*StripeVarPct+E25*StripeFixed</f>
        <v/>
      </c>
      <c r="I25" s="45">
        <f>(E25+IF(B25="Pilot",PilotTeams,0))*MIN(AvgSeatsPerTeam*ReceiptsPerSeat,ReceiptCapPerTeam)*CostPerReceipt</f>
        <v/>
      </c>
      <c r="J25" s="45">
        <f>(F25+IF(B25="Pilot",PilotTeams*AvgSeatsPerTeam,0))*AwsPerSeat</f>
        <v/>
      </c>
      <c r="K25" s="45">
        <f>MAX(0,F25-CognitoFreeMau)*CognitoMauPrice</f>
        <v/>
      </c>
      <c r="L25" s="46">
        <f>FixedAwsTotal</f>
        <v/>
      </c>
      <c r="M25" s="46">
        <f>ToolingMonthly+AppStoreMonthly</f>
        <v/>
      </c>
      <c r="N25" s="46">
        <f>OverheadMonthly</f>
        <v/>
      </c>
      <c r="O25" s="45">
        <f>SUM(H25:N25)</f>
        <v/>
      </c>
      <c r="P25" s="45">
        <f>G25-O25</f>
        <v/>
      </c>
      <c r="Q25" s="45">
        <f>Q24+P25</f>
        <v/>
      </c>
      <c r="R25" s="34">
        <f>IF(P25&gt;0,A25,"")</f>
        <v/>
      </c>
    </row>
    <row r="26">
      <c r="A26" s="44" t="n">
        <v>14</v>
      </c>
      <c r="B26" s="10">
        <f>IF(A26&lt;=PilotMonths,"Pilot","Paid")</f>
        <v/>
      </c>
      <c r="C26" s="34">
        <f>IF(A26&lt;=PilotMonths,0,ROUND(NewTeamsFirstMonth*(1+NewTeamGrowth)^(A26-PilotMonths-1),0)+IF(A26=PilotMonths+1,ROUND(PilotTeams*PilotConversion,0),0))</f>
        <v/>
      </c>
      <c r="D26" s="34">
        <f>ROUND(E25*MonthlyChurn,0)</f>
        <v/>
      </c>
      <c r="E26" s="34">
        <f>E25+C26-D26</f>
        <v/>
      </c>
      <c r="F26" s="34">
        <f>E26*AvgSeatsPerTeam</f>
        <v/>
      </c>
      <c r="G26" s="45">
        <f>E26*IF(PricingMode=2,MAX(AvgSeatsPerTeam,StarterMinSeats),AvgSeatsPerTeam)*PricePerSeat</f>
        <v/>
      </c>
      <c r="H26" s="45">
        <f>G26*StripeVarPct+E26*StripeFixed</f>
        <v/>
      </c>
      <c r="I26" s="45">
        <f>(E26+IF(B26="Pilot",PilotTeams,0))*MIN(AvgSeatsPerTeam*ReceiptsPerSeat,ReceiptCapPerTeam)*CostPerReceipt</f>
        <v/>
      </c>
      <c r="J26" s="45">
        <f>(F26+IF(B26="Pilot",PilotTeams*AvgSeatsPerTeam,0))*AwsPerSeat</f>
        <v/>
      </c>
      <c r="K26" s="45">
        <f>MAX(0,F26-CognitoFreeMau)*CognitoMauPrice</f>
        <v/>
      </c>
      <c r="L26" s="46">
        <f>FixedAwsTotal</f>
        <v/>
      </c>
      <c r="M26" s="46">
        <f>ToolingMonthly+AppStoreMonthly</f>
        <v/>
      </c>
      <c r="N26" s="46">
        <f>OverheadMonthly</f>
        <v/>
      </c>
      <c r="O26" s="45">
        <f>SUM(H26:N26)</f>
        <v/>
      </c>
      <c r="P26" s="45">
        <f>G26-O26</f>
        <v/>
      </c>
      <c r="Q26" s="45">
        <f>Q25+P26</f>
        <v/>
      </c>
      <c r="R26" s="34">
        <f>IF(P26&gt;0,A26,"")</f>
        <v/>
      </c>
    </row>
    <row r="27">
      <c r="A27" s="44" t="n">
        <v>15</v>
      </c>
      <c r="B27" s="10">
        <f>IF(A27&lt;=PilotMonths,"Pilot","Paid")</f>
        <v/>
      </c>
      <c r="C27" s="34">
        <f>IF(A27&lt;=PilotMonths,0,ROUND(NewTeamsFirstMonth*(1+NewTeamGrowth)^(A27-PilotMonths-1),0)+IF(A27=PilotMonths+1,ROUND(PilotTeams*PilotConversion,0),0))</f>
        <v/>
      </c>
      <c r="D27" s="34">
        <f>ROUND(E26*MonthlyChurn,0)</f>
        <v/>
      </c>
      <c r="E27" s="34">
        <f>E26+C27-D27</f>
        <v/>
      </c>
      <c r="F27" s="34">
        <f>E27*AvgSeatsPerTeam</f>
        <v/>
      </c>
      <c r="G27" s="45">
        <f>E27*IF(PricingMode=2,MAX(AvgSeatsPerTeam,StarterMinSeats),AvgSeatsPerTeam)*PricePerSeat</f>
        <v/>
      </c>
      <c r="H27" s="45">
        <f>G27*StripeVarPct+E27*StripeFixed</f>
        <v/>
      </c>
      <c r="I27" s="45">
        <f>(E27+IF(B27="Pilot",PilotTeams,0))*MIN(AvgSeatsPerTeam*ReceiptsPerSeat,ReceiptCapPerTeam)*CostPerReceipt</f>
        <v/>
      </c>
      <c r="J27" s="45">
        <f>(F27+IF(B27="Pilot",PilotTeams*AvgSeatsPerTeam,0))*AwsPerSeat</f>
        <v/>
      </c>
      <c r="K27" s="45">
        <f>MAX(0,F27-CognitoFreeMau)*CognitoMauPrice</f>
        <v/>
      </c>
      <c r="L27" s="46">
        <f>FixedAwsTotal</f>
        <v/>
      </c>
      <c r="M27" s="46">
        <f>ToolingMonthly+AppStoreMonthly</f>
        <v/>
      </c>
      <c r="N27" s="46">
        <f>OverheadMonthly</f>
        <v/>
      </c>
      <c r="O27" s="45">
        <f>SUM(H27:N27)</f>
        <v/>
      </c>
      <c r="P27" s="45">
        <f>G27-O27</f>
        <v/>
      </c>
      <c r="Q27" s="45">
        <f>Q26+P27</f>
        <v/>
      </c>
      <c r="R27" s="34">
        <f>IF(P27&gt;0,A27,"")</f>
        <v/>
      </c>
    </row>
    <row r="28">
      <c r="A28" s="44" t="n">
        <v>16</v>
      </c>
      <c r="B28" s="10">
        <f>IF(A28&lt;=PilotMonths,"Pilot","Paid")</f>
        <v/>
      </c>
      <c r="C28" s="34">
        <f>IF(A28&lt;=PilotMonths,0,ROUND(NewTeamsFirstMonth*(1+NewTeamGrowth)^(A28-PilotMonths-1),0)+IF(A28=PilotMonths+1,ROUND(PilotTeams*PilotConversion,0),0))</f>
        <v/>
      </c>
      <c r="D28" s="34">
        <f>ROUND(E27*MonthlyChurn,0)</f>
        <v/>
      </c>
      <c r="E28" s="34">
        <f>E27+C28-D28</f>
        <v/>
      </c>
      <c r="F28" s="34">
        <f>E28*AvgSeatsPerTeam</f>
        <v/>
      </c>
      <c r="G28" s="45">
        <f>E28*IF(PricingMode=2,MAX(AvgSeatsPerTeam,StarterMinSeats),AvgSeatsPerTeam)*PricePerSeat</f>
        <v/>
      </c>
      <c r="H28" s="45">
        <f>G28*StripeVarPct+E28*StripeFixed</f>
        <v/>
      </c>
      <c r="I28" s="45">
        <f>(E28+IF(B28="Pilot",PilotTeams,0))*MIN(AvgSeatsPerTeam*ReceiptsPerSeat,ReceiptCapPerTeam)*CostPerReceipt</f>
        <v/>
      </c>
      <c r="J28" s="45">
        <f>(F28+IF(B28="Pilot",PilotTeams*AvgSeatsPerTeam,0))*AwsPerSeat</f>
        <v/>
      </c>
      <c r="K28" s="45">
        <f>MAX(0,F28-CognitoFreeMau)*CognitoMauPrice</f>
        <v/>
      </c>
      <c r="L28" s="46">
        <f>FixedAwsTotal</f>
        <v/>
      </c>
      <c r="M28" s="46">
        <f>ToolingMonthly+AppStoreMonthly</f>
        <v/>
      </c>
      <c r="N28" s="46">
        <f>OverheadMonthly</f>
        <v/>
      </c>
      <c r="O28" s="45">
        <f>SUM(H28:N28)</f>
        <v/>
      </c>
      <c r="P28" s="45">
        <f>G28-O28</f>
        <v/>
      </c>
      <c r="Q28" s="45">
        <f>Q27+P28</f>
        <v/>
      </c>
      <c r="R28" s="34">
        <f>IF(P28&gt;0,A28,"")</f>
        <v/>
      </c>
    </row>
    <row r="29">
      <c r="A29" s="44" t="n">
        <v>17</v>
      </c>
      <c r="B29" s="10">
        <f>IF(A29&lt;=PilotMonths,"Pilot","Paid")</f>
        <v/>
      </c>
      <c r="C29" s="34">
        <f>IF(A29&lt;=PilotMonths,0,ROUND(NewTeamsFirstMonth*(1+NewTeamGrowth)^(A29-PilotMonths-1),0)+IF(A29=PilotMonths+1,ROUND(PilotTeams*PilotConversion,0),0))</f>
        <v/>
      </c>
      <c r="D29" s="34">
        <f>ROUND(E28*MonthlyChurn,0)</f>
        <v/>
      </c>
      <c r="E29" s="34">
        <f>E28+C29-D29</f>
        <v/>
      </c>
      <c r="F29" s="34">
        <f>E29*AvgSeatsPerTeam</f>
        <v/>
      </c>
      <c r="G29" s="45">
        <f>E29*IF(PricingMode=2,MAX(AvgSeatsPerTeam,StarterMinSeats),AvgSeatsPerTeam)*PricePerSeat</f>
        <v/>
      </c>
      <c r="H29" s="45">
        <f>G29*StripeVarPct+E29*StripeFixed</f>
        <v/>
      </c>
      <c r="I29" s="45">
        <f>(E29+IF(B29="Pilot",PilotTeams,0))*MIN(AvgSeatsPerTeam*ReceiptsPerSeat,ReceiptCapPerTeam)*CostPerReceipt</f>
        <v/>
      </c>
      <c r="J29" s="45">
        <f>(F29+IF(B29="Pilot",PilotTeams*AvgSeatsPerTeam,0))*AwsPerSeat</f>
        <v/>
      </c>
      <c r="K29" s="45">
        <f>MAX(0,F29-CognitoFreeMau)*CognitoMauPrice</f>
        <v/>
      </c>
      <c r="L29" s="46">
        <f>FixedAwsTotal</f>
        <v/>
      </c>
      <c r="M29" s="46">
        <f>ToolingMonthly+AppStoreMonthly</f>
        <v/>
      </c>
      <c r="N29" s="46">
        <f>OverheadMonthly</f>
        <v/>
      </c>
      <c r="O29" s="45">
        <f>SUM(H29:N29)</f>
        <v/>
      </c>
      <c r="P29" s="45">
        <f>G29-O29</f>
        <v/>
      </c>
      <c r="Q29" s="45">
        <f>Q28+P29</f>
        <v/>
      </c>
      <c r="R29" s="34">
        <f>IF(P29&gt;0,A29,"")</f>
        <v/>
      </c>
    </row>
    <row r="30">
      <c r="A30" s="44" t="n">
        <v>18</v>
      </c>
      <c r="B30" s="10">
        <f>IF(A30&lt;=PilotMonths,"Pilot","Paid")</f>
        <v/>
      </c>
      <c r="C30" s="34">
        <f>IF(A30&lt;=PilotMonths,0,ROUND(NewTeamsFirstMonth*(1+NewTeamGrowth)^(A30-PilotMonths-1),0)+IF(A30=PilotMonths+1,ROUND(PilotTeams*PilotConversion,0),0))</f>
        <v/>
      </c>
      <c r="D30" s="34">
        <f>ROUND(E29*MonthlyChurn,0)</f>
        <v/>
      </c>
      <c r="E30" s="34">
        <f>E29+C30-D30</f>
        <v/>
      </c>
      <c r="F30" s="34">
        <f>E30*AvgSeatsPerTeam</f>
        <v/>
      </c>
      <c r="G30" s="45">
        <f>E30*IF(PricingMode=2,MAX(AvgSeatsPerTeam,StarterMinSeats),AvgSeatsPerTeam)*PricePerSeat</f>
        <v/>
      </c>
      <c r="H30" s="45">
        <f>G30*StripeVarPct+E30*StripeFixed</f>
        <v/>
      </c>
      <c r="I30" s="45">
        <f>(E30+IF(B30="Pilot",PilotTeams,0))*MIN(AvgSeatsPerTeam*ReceiptsPerSeat,ReceiptCapPerTeam)*CostPerReceipt</f>
        <v/>
      </c>
      <c r="J30" s="45">
        <f>(F30+IF(B30="Pilot",PilotTeams*AvgSeatsPerTeam,0))*AwsPerSeat</f>
        <v/>
      </c>
      <c r="K30" s="45">
        <f>MAX(0,F30-CognitoFreeMau)*CognitoMauPrice</f>
        <v/>
      </c>
      <c r="L30" s="46">
        <f>FixedAwsTotal</f>
        <v/>
      </c>
      <c r="M30" s="46">
        <f>ToolingMonthly+AppStoreMonthly</f>
        <v/>
      </c>
      <c r="N30" s="46">
        <f>OverheadMonthly</f>
        <v/>
      </c>
      <c r="O30" s="45">
        <f>SUM(H30:N30)</f>
        <v/>
      </c>
      <c r="P30" s="45">
        <f>G30-O30</f>
        <v/>
      </c>
      <c r="Q30" s="45">
        <f>Q29+P30</f>
        <v/>
      </c>
      <c r="R30" s="34">
        <f>IF(P30&gt;0,A30,"")</f>
        <v/>
      </c>
    </row>
    <row r="31">
      <c r="A31" s="44" t="n">
        <v>19</v>
      </c>
      <c r="B31" s="10">
        <f>IF(A31&lt;=PilotMonths,"Pilot","Paid")</f>
        <v/>
      </c>
      <c r="C31" s="34">
        <f>IF(A31&lt;=PilotMonths,0,ROUND(NewTeamsFirstMonth*(1+NewTeamGrowth)^(A31-PilotMonths-1),0)+IF(A31=PilotMonths+1,ROUND(PilotTeams*PilotConversion,0),0))</f>
        <v/>
      </c>
      <c r="D31" s="34">
        <f>ROUND(E30*MonthlyChurn,0)</f>
        <v/>
      </c>
      <c r="E31" s="34">
        <f>E30+C31-D31</f>
        <v/>
      </c>
      <c r="F31" s="34">
        <f>E31*AvgSeatsPerTeam</f>
        <v/>
      </c>
      <c r="G31" s="45">
        <f>E31*IF(PricingMode=2,MAX(AvgSeatsPerTeam,StarterMinSeats),AvgSeatsPerTeam)*PricePerSeat</f>
        <v/>
      </c>
      <c r="H31" s="45">
        <f>G31*StripeVarPct+E31*StripeFixed</f>
        <v/>
      </c>
      <c r="I31" s="45">
        <f>(E31+IF(B31="Pilot",PilotTeams,0))*MIN(AvgSeatsPerTeam*ReceiptsPerSeat,ReceiptCapPerTeam)*CostPerReceipt</f>
        <v/>
      </c>
      <c r="J31" s="45">
        <f>(F31+IF(B31="Pilot",PilotTeams*AvgSeatsPerTeam,0))*AwsPerSeat</f>
        <v/>
      </c>
      <c r="K31" s="45">
        <f>MAX(0,F31-CognitoFreeMau)*CognitoMauPrice</f>
        <v/>
      </c>
      <c r="L31" s="46">
        <f>FixedAwsTotal</f>
        <v/>
      </c>
      <c r="M31" s="46">
        <f>ToolingMonthly+AppStoreMonthly</f>
        <v/>
      </c>
      <c r="N31" s="46">
        <f>OverheadMonthly</f>
        <v/>
      </c>
      <c r="O31" s="45">
        <f>SUM(H31:N31)</f>
        <v/>
      </c>
      <c r="P31" s="45">
        <f>G31-O31</f>
        <v/>
      </c>
      <c r="Q31" s="45">
        <f>Q30+P31</f>
        <v/>
      </c>
      <c r="R31" s="34">
        <f>IF(P31&gt;0,A31,"")</f>
        <v/>
      </c>
    </row>
    <row r="32">
      <c r="A32" s="44" t="n">
        <v>20</v>
      </c>
      <c r="B32" s="10">
        <f>IF(A32&lt;=PilotMonths,"Pilot","Paid")</f>
        <v/>
      </c>
      <c r="C32" s="34">
        <f>IF(A32&lt;=PilotMonths,0,ROUND(NewTeamsFirstMonth*(1+NewTeamGrowth)^(A32-PilotMonths-1),0)+IF(A32=PilotMonths+1,ROUND(PilotTeams*PilotConversion,0),0))</f>
        <v/>
      </c>
      <c r="D32" s="34">
        <f>ROUND(E31*MonthlyChurn,0)</f>
        <v/>
      </c>
      <c r="E32" s="34">
        <f>E31+C32-D32</f>
        <v/>
      </c>
      <c r="F32" s="34">
        <f>E32*AvgSeatsPerTeam</f>
        <v/>
      </c>
      <c r="G32" s="45">
        <f>E32*IF(PricingMode=2,MAX(AvgSeatsPerTeam,StarterMinSeats),AvgSeatsPerTeam)*PricePerSeat</f>
        <v/>
      </c>
      <c r="H32" s="45">
        <f>G32*StripeVarPct+E32*StripeFixed</f>
        <v/>
      </c>
      <c r="I32" s="45">
        <f>(E32+IF(B32="Pilot",PilotTeams,0))*MIN(AvgSeatsPerTeam*ReceiptsPerSeat,ReceiptCapPerTeam)*CostPerReceipt</f>
        <v/>
      </c>
      <c r="J32" s="45">
        <f>(F32+IF(B32="Pilot",PilotTeams*AvgSeatsPerTeam,0))*AwsPerSeat</f>
        <v/>
      </c>
      <c r="K32" s="45">
        <f>MAX(0,F32-CognitoFreeMau)*CognitoMauPrice</f>
        <v/>
      </c>
      <c r="L32" s="46">
        <f>FixedAwsTotal</f>
        <v/>
      </c>
      <c r="M32" s="46">
        <f>ToolingMonthly+AppStoreMonthly</f>
        <v/>
      </c>
      <c r="N32" s="46">
        <f>OverheadMonthly</f>
        <v/>
      </c>
      <c r="O32" s="45">
        <f>SUM(H32:N32)</f>
        <v/>
      </c>
      <c r="P32" s="45">
        <f>G32-O32</f>
        <v/>
      </c>
      <c r="Q32" s="45">
        <f>Q31+P32</f>
        <v/>
      </c>
      <c r="R32" s="34">
        <f>IF(P32&gt;0,A32,"")</f>
        <v/>
      </c>
    </row>
    <row r="33">
      <c r="A33" s="44" t="n">
        <v>21</v>
      </c>
      <c r="B33" s="10">
        <f>IF(A33&lt;=PilotMonths,"Pilot","Paid")</f>
        <v/>
      </c>
      <c r="C33" s="34">
        <f>IF(A33&lt;=PilotMonths,0,ROUND(NewTeamsFirstMonth*(1+NewTeamGrowth)^(A33-PilotMonths-1),0)+IF(A33=PilotMonths+1,ROUND(PilotTeams*PilotConversion,0),0))</f>
        <v/>
      </c>
      <c r="D33" s="34">
        <f>ROUND(E32*MonthlyChurn,0)</f>
        <v/>
      </c>
      <c r="E33" s="34">
        <f>E32+C33-D33</f>
        <v/>
      </c>
      <c r="F33" s="34">
        <f>E33*AvgSeatsPerTeam</f>
        <v/>
      </c>
      <c r="G33" s="45">
        <f>E33*IF(PricingMode=2,MAX(AvgSeatsPerTeam,StarterMinSeats),AvgSeatsPerTeam)*PricePerSeat</f>
        <v/>
      </c>
      <c r="H33" s="45">
        <f>G33*StripeVarPct+E33*StripeFixed</f>
        <v/>
      </c>
      <c r="I33" s="45">
        <f>(E33+IF(B33="Pilot",PilotTeams,0))*MIN(AvgSeatsPerTeam*ReceiptsPerSeat,ReceiptCapPerTeam)*CostPerReceipt</f>
        <v/>
      </c>
      <c r="J33" s="45">
        <f>(F33+IF(B33="Pilot",PilotTeams*AvgSeatsPerTeam,0))*AwsPerSeat</f>
        <v/>
      </c>
      <c r="K33" s="45">
        <f>MAX(0,F33-CognitoFreeMau)*CognitoMauPrice</f>
        <v/>
      </c>
      <c r="L33" s="46">
        <f>FixedAwsTotal</f>
        <v/>
      </c>
      <c r="M33" s="46">
        <f>ToolingMonthly+AppStoreMonthly</f>
        <v/>
      </c>
      <c r="N33" s="46">
        <f>OverheadMonthly</f>
        <v/>
      </c>
      <c r="O33" s="45">
        <f>SUM(H33:N33)</f>
        <v/>
      </c>
      <c r="P33" s="45">
        <f>G33-O33</f>
        <v/>
      </c>
      <c r="Q33" s="45">
        <f>Q32+P33</f>
        <v/>
      </c>
      <c r="R33" s="34">
        <f>IF(P33&gt;0,A33,"")</f>
        <v/>
      </c>
    </row>
    <row r="34">
      <c r="A34" s="44" t="n">
        <v>22</v>
      </c>
      <c r="B34" s="10">
        <f>IF(A34&lt;=PilotMonths,"Pilot","Paid")</f>
        <v/>
      </c>
      <c r="C34" s="34">
        <f>IF(A34&lt;=PilotMonths,0,ROUND(NewTeamsFirstMonth*(1+NewTeamGrowth)^(A34-PilotMonths-1),0)+IF(A34=PilotMonths+1,ROUND(PilotTeams*PilotConversion,0),0))</f>
        <v/>
      </c>
      <c r="D34" s="34">
        <f>ROUND(E33*MonthlyChurn,0)</f>
        <v/>
      </c>
      <c r="E34" s="34">
        <f>E33+C34-D34</f>
        <v/>
      </c>
      <c r="F34" s="34">
        <f>E34*AvgSeatsPerTeam</f>
        <v/>
      </c>
      <c r="G34" s="45">
        <f>E34*IF(PricingMode=2,MAX(AvgSeatsPerTeam,StarterMinSeats),AvgSeatsPerTeam)*PricePerSeat</f>
        <v/>
      </c>
      <c r="H34" s="45">
        <f>G34*StripeVarPct+E34*StripeFixed</f>
        <v/>
      </c>
      <c r="I34" s="45">
        <f>(E34+IF(B34="Pilot",PilotTeams,0))*MIN(AvgSeatsPerTeam*ReceiptsPerSeat,ReceiptCapPerTeam)*CostPerReceipt</f>
        <v/>
      </c>
      <c r="J34" s="45">
        <f>(F34+IF(B34="Pilot",PilotTeams*AvgSeatsPerTeam,0))*AwsPerSeat</f>
        <v/>
      </c>
      <c r="K34" s="45">
        <f>MAX(0,F34-CognitoFreeMau)*CognitoMauPrice</f>
        <v/>
      </c>
      <c r="L34" s="46">
        <f>FixedAwsTotal</f>
        <v/>
      </c>
      <c r="M34" s="46">
        <f>ToolingMonthly+AppStoreMonthly</f>
        <v/>
      </c>
      <c r="N34" s="46">
        <f>OverheadMonthly</f>
        <v/>
      </c>
      <c r="O34" s="45">
        <f>SUM(H34:N34)</f>
        <v/>
      </c>
      <c r="P34" s="45">
        <f>G34-O34</f>
        <v/>
      </c>
      <c r="Q34" s="45">
        <f>Q33+P34</f>
        <v/>
      </c>
      <c r="R34" s="34">
        <f>IF(P34&gt;0,A34,"")</f>
        <v/>
      </c>
    </row>
    <row r="35">
      <c r="A35" s="44" t="n">
        <v>23</v>
      </c>
      <c r="B35" s="10">
        <f>IF(A35&lt;=PilotMonths,"Pilot","Paid")</f>
        <v/>
      </c>
      <c r="C35" s="34">
        <f>IF(A35&lt;=PilotMonths,0,ROUND(NewTeamsFirstMonth*(1+NewTeamGrowth)^(A35-PilotMonths-1),0)+IF(A35=PilotMonths+1,ROUND(PilotTeams*PilotConversion,0),0))</f>
        <v/>
      </c>
      <c r="D35" s="34">
        <f>ROUND(E34*MonthlyChurn,0)</f>
        <v/>
      </c>
      <c r="E35" s="34">
        <f>E34+C35-D35</f>
        <v/>
      </c>
      <c r="F35" s="34">
        <f>E35*AvgSeatsPerTeam</f>
        <v/>
      </c>
      <c r="G35" s="45">
        <f>E35*IF(PricingMode=2,MAX(AvgSeatsPerTeam,StarterMinSeats),AvgSeatsPerTeam)*PricePerSeat</f>
        <v/>
      </c>
      <c r="H35" s="45">
        <f>G35*StripeVarPct+E35*StripeFixed</f>
        <v/>
      </c>
      <c r="I35" s="45">
        <f>(E35+IF(B35="Pilot",PilotTeams,0))*MIN(AvgSeatsPerTeam*ReceiptsPerSeat,ReceiptCapPerTeam)*CostPerReceipt</f>
        <v/>
      </c>
      <c r="J35" s="45">
        <f>(F35+IF(B35="Pilot",PilotTeams*AvgSeatsPerTeam,0))*AwsPerSeat</f>
        <v/>
      </c>
      <c r="K35" s="45">
        <f>MAX(0,F35-CognitoFreeMau)*CognitoMauPrice</f>
        <v/>
      </c>
      <c r="L35" s="46">
        <f>FixedAwsTotal</f>
        <v/>
      </c>
      <c r="M35" s="46">
        <f>ToolingMonthly+AppStoreMonthly</f>
        <v/>
      </c>
      <c r="N35" s="46">
        <f>OverheadMonthly</f>
        <v/>
      </c>
      <c r="O35" s="45">
        <f>SUM(H35:N35)</f>
        <v/>
      </c>
      <c r="P35" s="45">
        <f>G35-O35</f>
        <v/>
      </c>
      <c r="Q35" s="45">
        <f>Q34+P35</f>
        <v/>
      </c>
      <c r="R35" s="34">
        <f>IF(P35&gt;0,A35,"")</f>
        <v/>
      </c>
    </row>
    <row r="36">
      <c r="A36" s="44" t="n">
        <v>24</v>
      </c>
      <c r="B36" s="10">
        <f>IF(A36&lt;=PilotMonths,"Pilot","Paid")</f>
        <v/>
      </c>
      <c r="C36" s="34">
        <f>IF(A36&lt;=PilotMonths,0,ROUND(NewTeamsFirstMonth*(1+NewTeamGrowth)^(A36-PilotMonths-1),0)+IF(A36=PilotMonths+1,ROUND(PilotTeams*PilotConversion,0),0))</f>
        <v/>
      </c>
      <c r="D36" s="34">
        <f>ROUND(E35*MonthlyChurn,0)</f>
        <v/>
      </c>
      <c r="E36" s="34">
        <f>E35+C36-D36</f>
        <v/>
      </c>
      <c r="F36" s="34">
        <f>E36*AvgSeatsPerTeam</f>
        <v/>
      </c>
      <c r="G36" s="45">
        <f>E36*IF(PricingMode=2,MAX(AvgSeatsPerTeam,StarterMinSeats),AvgSeatsPerTeam)*PricePerSeat</f>
        <v/>
      </c>
      <c r="H36" s="45">
        <f>G36*StripeVarPct+E36*StripeFixed</f>
        <v/>
      </c>
      <c r="I36" s="45">
        <f>(E36+IF(B36="Pilot",PilotTeams,0))*MIN(AvgSeatsPerTeam*ReceiptsPerSeat,ReceiptCapPerTeam)*CostPerReceipt</f>
        <v/>
      </c>
      <c r="J36" s="45">
        <f>(F36+IF(B36="Pilot",PilotTeams*AvgSeatsPerTeam,0))*AwsPerSeat</f>
        <v/>
      </c>
      <c r="K36" s="45">
        <f>MAX(0,F36-CognitoFreeMau)*CognitoMauPrice</f>
        <v/>
      </c>
      <c r="L36" s="46">
        <f>FixedAwsTotal</f>
        <v/>
      </c>
      <c r="M36" s="46">
        <f>ToolingMonthly+AppStoreMonthly</f>
        <v/>
      </c>
      <c r="N36" s="46">
        <f>OverheadMonthly</f>
        <v/>
      </c>
      <c r="O36" s="45">
        <f>SUM(H36:N36)</f>
        <v/>
      </c>
      <c r="P36" s="45">
        <f>G36-O36</f>
        <v/>
      </c>
      <c r="Q36" s="45">
        <f>Q35+P36</f>
        <v/>
      </c>
      <c r="R36" s="34">
        <f>IF(P36&gt;0,A36,"")</f>
        <v/>
      </c>
    </row>
    <row r="37">
      <c r="A37" s="35" t="inlineStr">
        <is>
          <t>24-month total</t>
        </is>
      </c>
      <c r="G37" s="47">
        <f>SUM(G13:G36)</f>
        <v/>
      </c>
      <c r="H37" s="47">
        <f>SUM(H13:H36)</f>
        <v/>
      </c>
      <c r="I37" s="47">
        <f>SUM(I13:I36)</f>
        <v/>
      </c>
      <c r="J37" s="47">
        <f>SUM(J13:J36)</f>
        <v/>
      </c>
      <c r="K37" s="47">
        <f>SUM(K13:K36)</f>
        <v/>
      </c>
      <c r="L37" s="47">
        <f>SUM(L13:L36)</f>
        <v/>
      </c>
      <c r="M37" s="47">
        <f>SUM(M13:M36)</f>
        <v/>
      </c>
      <c r="N37" s="47">
        <f>SUM(N13:N36)</f>
        <v/>
      </c>
      <c r="O37" s="47">
        <f>SUM(O13:O36)</f>
        <v/>
      </c>
      <c r="P37" s="47">
        <f>SUM(P13:P36)</f>
        <v/>
      </c>
    </row>
    <row r="39">
      <c r="A39" s="35" t="inlineStr">
        <is>
          <t>First month with monthly profit</t>
        </is>
      </c>
      <c r="B39" s="48">
        <f>IF(COUNT(R13:R36)=0,"not within 24 months",MIN(R13:R36))</f>
        <v/>
      </c>
    </row>
    <row r="40">
      <c r="A40" s="35" t="inlineStr">
        <is>
          <t>Paying seats in month 24</t>
        </is>
      </c>
      <c r="B40" s="42">
        <f>F36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2026-09-26T13:27:50Z</dcterms:created>
  <dcterms:modified xsi:type="dcterms:W3CDTF">2026-09-26T13:27:50Z</dcterms:modified>
</cp:coreProperties>
</file>